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pan\Downloads\"/>
    </mc:Choice>
  </mc:AlternateContent>
  <xr:revisionPtr revIDLastSave="0" documentId="13_ncr:1_{A09B691F-6BFF-44DE-984F-60FF00CB3BE6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web scrap" sheetId="1" r:id="rId1"/>
    <sheet name="Sheet1" sheetId="2" r:id="rId2"/>
  </sheets>
  <definedNames>
    <definedName name="_xlnm._FilterDatabase" localSheetId="1" hidden="1">Sheet1!$A$1:$B$227</definedName>
  </definedNames>
  <calcPr calcId="191029"/>
</workbook>
</file>

<file path=xl/calcChain.xml><?xml version="1.0" encoding="utf-8"?>
<calcChain xmlns="http://schemas.openxmlformats.org/spreadsheetml/2006/main">
  <c r="P239" i="2" l="1"/>
  <c r="O239" i="2"/>
  <c r="N239" i="2"/>
  <c r="M239" i="2"/>
  <c r="L239" i="2"/>
  <c r="K239" i="2"/>
  <c r="J239" i="2"/>
  <c r="P238" i="2"/>
  <c r="O238" i="2"/>
  <c r="N238" i="2"/>
  <c r="M238" i="2"/>
  <c r="L238" i="2"/>
  <c r="K238" i="2"/>
  <c r="J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81" i="2"/>
  <c r="O181" i="2"/>
  <c r="N181" i="2"/>
  <c r="M181" i="2"/>
  <c r="L181" i="2"/>
  <c r="K181" i="2"/>
  <c r="J181" i="2"/>
  <c r="P180" i="2"/>
  <c r="O180" i="2"/>
  <c r="N180" i="2"/>
  <c r="M180" i="2"/>
  <c r="L180" i="2"/>
  <c r="K180" i="2"/>
  <c r="J180" i="2"/>
  <c r="P179" i="2"/>
  <c r="O179" i="2"/>
  <c r="N179" i="2"/>
  <c r="M179" i="2"/>
  <c r="L179" i="2"/>
  <c r="K179" i="2"/>
  <c r="J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P122" i="2"/>
  <c r="O122" i="2"/>
  <c r="N122" i="2"/>
  <c r="M122" i="2"/>
  <c r="L122" i="2"/>
  <c r="K122" i="2"/>
  <c r="J122" i="2"/>
  <c r="P121" i="2"/>
  <c r="O121" i="2"/>
  <c r="N121" i="2"/>
  <c r="M121" i="2"/>
  <c r="L121" i="2"/>
  <c r="K121" i="2"/>
  <c r="J121" i="2"/>
  <c r="P120" i="2"/>
  <c r="O120" i="2"/>
  <c r="N120" i="2"/>
  <c r="M120" i="2"/>
  <c r="L120" i="2"/>
  <c r="K120" i="2"/>
  <c r="J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P63" i="2"/>
  <c r="O63" i="2"/>
  <c r="N63" i="2"/>
  <c r="M63" i="2"/>
  <c r="L63" i="2"/>
  <c r="K63" i="2"/>
  <c r="J63" i="2"/>
  <c r="P62" i="2"/>
  <c r="O62" i="2"/>
  <c r="N62" i="2"/>
  <c r="M62" i="2"/>
  <c r="L62" i="2"/>
  <c r="K62" i="2"/>
  <c r="J62" i="2"/>
  <c r="P61" i="2"/>
  <c r="O61" i="2"/>
  <c r="N61" i="2"/>
  <c r="M61" i="2"/>
  <c r="L61" i="2"/>
  <c r="K61" i="2"/>
  <c r="J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" i="2"/>
  <c r="O1" i="2"/>
  <c r="N1" i="2"/>
  <c r="M1" i="2"/>
  <c r="L1" i="2"/>
  <c r="K1" i="2"/>
  <c r="J1" i="2"/>
</calcChain>
</file>

<file path=xl/sharedStrings.xml><?xml version="1.0" encoding="utf-8"?>
<sst xmlns="http://schemas.openxmlformats.org/spreadsheetml/2006/main" count="492" uniqueCount="21">
  <si>
    <t>ปี พ.ศ.</t>
  </si>
  <si>
    <t>เดือน</t>
  </si>
  <si>
    <t>ทองรูปพรรณ รับซื้อ (บาท)</t>
  </si>
  <si>
    <t>ทองรูปพรรณ ค่าธรรมเนียม (บาท)</t>
  </si>
  <si>
    <t>ทองรูปพรรณ ขายออก (บาท)</t>
  </si>
  <si>
    <t>ทองแท่ง รับซื้อ (บาท)</t>
  </si>
  <si>
    <t>ทองแท่ง ขายออก (บาท)</t>
  </si>
  <si>
    <t>US$ ต่อออนซ์</t>
  </si>
  <si>
    <t>Baht / US$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</si>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</sst>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Sheet1!$J$1</c:f>
              <c:strCache>
                <c:ptCount val="1"/>
                <c:pt idx="0">
                  <c:v>ทองรูปพรรณ รับซื้อ (บาท)_yoy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Sheet1!$J$2:$J$239</c:f>
              <c:numCache>
                <c:formatCode>0.0</c:formatCode>
                <c:ptCount val="44"/>
                <c:pt idx="0">
                  <c:v>-2.3050062437482666</c:v>
                </c:pt>
                <c:pt idx="1">
                  <c:v>-4.4966237986898534</c:v>
                </c:pt>
                <c:pt idx="2">
                  <c:v>-5.3544563621856298</c:v>
                </c:pt>
                <c:pt idx="3">
                  <c:v>0.33157261649496661</c:v>
                </c:pt>
                <c:pt idx="4">
                  <c:v>-3.4035738681686922</c:v>
                </c:pt>
                <c:pt idx="5">
                  <c:v>-3.0459933379423063</c:v>
                </c:pt>
                <c:pt idx="6">
                  <c:v>-10.28895038290753</c:v>
                </c:pt>
                <c:pt idx="7">
                  <c:v>-1.2370467671649834</c:v>
                </c:pt>
                <c:pt idx="8">
                  <c:v>-0.47128109677316843</c:v>
                </c:pt>
                <c:pt idx="9">
                  <c:v>1.3803911644178868</c:v>
                </c:pt>
                <c:pt idx="10">
                  <c:v>17.871887943335992</c:v>
                </c:pt>
                <c:pt idx="11">
                  <c:v>9.3830289416627579</c:v>
                </c:pt>
                <c:pt idx="12">
                  <c:v>23.122130404459412</c:v>
                </c:pt>
                <c:pt idx="13">
                  <c:v>28.064946145913495</c:v>
                </c:pt>
                <c:pt idx="14">
                  <c:v>30.841929586794663</c:v>
                </c:pt>
                <c:pt idx="15">
                  <c:v>24.927225186719923</c:v>
                </c:pt>
                <c:pt idx="16">
                  <c:v>4.3812094239081318</c:v>
                </c:pt>
                <c:pt idx="17">
                  <c:v>6.7378134390389164</c:v>
                </c:pt>
                <c:pt idx="18">
                  <c:v>-2.4116602937972118</c:v>
                </c:pt>
                <c:pt idx="19">
                  <c:v>7.6899992004953077</c:v>
                </c:pt>
                <c:pt idx="20">
                  <c:v>21.877570513952264</c:v>
                </c:pt>
                <c:pt idx="21">
                  <c:v>11.424826044946542</c:v>
                </c:pt>
                <c:pt idx="22">
                  <c:v>5.9835740712156991</c:v>
                </c:pt>
                <c:pt idx="23">
                  <c:v>3.8946203740399312</c:v>
                </c:pt>
                <c:pt idx="24">
                  <c:v>1.7429512412244037</c:v>
                </c:pt>
                <c:pt idx="25">
                  <c:v>5.6554049129802166</c:v>
                </c:pt>
                <c:pt idx="26">
                  <c:v>10.1095574804893</c:v>
                </c:pt>
                <c:pt idx="27">
                  <c:v>13.998884974601239</c:v>
                </c:pt>
                <c:pt idx="28">
                  <c:v>18.225224241028485</c:v>
                </c:pt>
                <c:pt idx="29">
                  <c:v>25.91453791291805</c:v>
                </c:pt>
                <c:pt idx="30">
                  <c:v>24.747035698543399</c:v>
                </c:pt>
                <c:pt idx="31">
                  <c:v>26.755087493194168</c:v>
                </c:pt>
                <c:pt idx="32">
                  <c:v>19.125084253520058</c:v>
                </c:pt>
                <c:pt idx="33">
                  <c:v>13.763626439347192</c:v>
                </c:pt>
                <c:pt idx="34">
                  <c:v>17.105021870161877</c:v>
                </c:pt>
                <c:pt idx="35">
                  <c:v>27.528995727795717</c:v>
                </c:pt>
                <c:pt idx="36">
                  <c:v>24.937171729280223</c:v>
                </c:pt>
                <c:pt idx="37">
                  <c:v>27.002586378673342</c:v>
                </c:pt>
                <c:pt idx="38">
                  <c:v>26.475357794334272</c:v>
                </c:pt>
                <c:pt idx="39">
                  <c:v>21.348799170439918</c:v>
                </c:pt>
                <c:pt idx="40">
                  <c:v>27.597743735909532</c:v>
                </c:pt>
                <c:pt idx="41">
                  <c:v>46.387437106576414</c:v>
                </c:pt>
                <c:pt idx="42">
                  <c:v>42.741873303456231</c:v>
                </c:pt>
                <c:pt idx="43">
                  <c:v>38.955606491686126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7-4AFA-A25D-217F5563017C}"/>
            </c:ext>
          </c:extLst>
        </c:ser>
        <c:ser>
          <c:idx val="8"/>
          <c:order val="1"/>
          <c:tx>
            <c:strRef>
              <c:f>Sheet1!$K$1</c:f>
              <c:strCache>
                <c:ptCount val="1"/>
                <c:pt idx="0">
                  <c:v>ทองรูปพรรณ ค่าธรรมเนียม (บาท)_yoy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Sheet1!$K$2:$K$239</c:f>
              <c:numCache>
                <c:formatCode>0.0</c:formatCode>
                <c:ptCount val="44"/>
                <c:pt idx="0">
                  <c:v>20.701114387087088</c:v>
                </c:pt>
                <c:pt idx="1">
                  <c:v>-1.580681018570445</c:v>
                </c:pt>
                <c:pt idx="2">
                  <c:v>-2.4652319714806481</c:v>
                </c:pt>
                <c:pt idx="3">
                  <c:v>0.11987381703468714</c:v>
                </c:pt>
                <c:pt idx="4">
                  <c:v>-1.4076634856232033</c:v>
                </c:pt>
                <c:pt idx="5">
                  <c:v>-1.1905625382088658</c:v>
                </c:pt>
                <c:pt idx="6">
                  <c:v>-3.7985400555480879</c:v>
                </c:pt>
                <c:pt idx="7">
                  <c:v>-0.52408259289600778</c:v>
                </c:pt>
                <c:pt idx="8">
                  <c:v>-0.30129968295294418</c:v>
                </c:pt>
                <c:pt idx="9">
                  <c:v>0.55369127516777894</c:v>
                </c:pt>
                <c:pt idx="10">
                  <c:v>6.5694292399167296</c:v>
                </c:pt>
                <c:pt idx="11">
                  <c:v>3.358496542258365</c:v>
                </c:pt>
                <c:pt idx="12">
                  <c:v>12.397990881042901</c:v>
                </c:pt>
                <c:pt idx="13">
                  <c:v>10.405890205239459</c:v>
                </c:pt>
                <c:pt idx="14">
                  <c:v>12.022760461251806</c:v>
                </c:pt>
                <c:pt idx="15">
                  <c:v>9.8747650567949705</c:v>
                </c:pt>
                <c:pt idx="16">
                  <c:v>-1.6479141098547103</c:v>
                </c:pt>
                <c:pt idx="17">
                  <c:v>2.6958608051687918</c:v>
                </c:pt>
                <c:pt idx="18">
                  <c:v>-1.1237672273515926</c:v>
                </c:pt>
                <c:pt idx="19">
                  <c:v>3.4184617387019784</c:v>
                </c:pt>
                <c:pt idx="20">
                  <c:v>9.5168695585910115</c:v>
                </c:pt>
                <c:pt idx="21">
                  <c:v>5.3853936718175248</c:v>
                </c:pt>
                <c:pt idx="22">
                  <c:v>2.8577143740396309</c:v>
                </c:pt>
                <c:pt idx="23">
                  <c:v>1.7664509169363498</c:v>
                </c:pt>
                <c:pt idx="24">
                  <c:v>0.64797822097362712</c:v>
                </c:pt>
                <c:pt idx="25">
                  <c:v>2.7457996945232424</c:v>
                </c:pt>
                <c:pt idx="26">
                  <c:v>4.6514505949118785</c:v>
                </c:pt>
                <c:pt idx="27">
                  <c:v>6.6755001987544631</c:v>
                </c:pt>
                <c:pt idx="28">
                  <c:v>8.8058901813028001</c:v>
                </c:pt>
                <c:pt idx="29">
                  <c:v>12.650249318303452</c:v>
                </c:pt>
                <c:pt idx="30">
                  <c:v>12.133831131533583</c:v>
                </c:pt>
                <c:pt idx="31">
                  <c:v>13.155628426160561</c:v>
                </c:pt>
                <c:pt idx="32">
                  <c:v>10.197922292467524</c:v>
                </c:pt>
                <c:pt idx="33">
                  <c:v>7.3692515779981989</c:v>
                </c:pt>
                <c:pt idx="34">
                  <c:v>31.821251688428646</c:v>
                </c:pt>
                <c:pt idx="35">
                  <c:v>37.670514957055502</c:v>
                </c:pt>
                <c:pt idx="36">
                  <c:v>36.251057553364319</c:v>
                </c:pt>
                <c:pt idx="37">
                  <c:v>45.306487493987504</c:v>
                </c:pt>
                <c:pt idx="38">
                  <c:v>44.907459718424434</c:v>
                </c:pt>
                <c:pt idx="39">
                  <c:v>41.630230647338465</c:v>
                </c:pt>
                <c:pt idx="40">
                  <c:v>45.604216119688999</c:v>
                </c:pt>
                <c:pt idx="41">
                  <c:v>57.361561372567678</c:v>
                </c:pt>
                <c:pt idx="42">
                  <c:v>54.962233689854997</c:v>
                </c:pt>
                <c:pt idx="43">
                  <c:v>52.92133486377432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27-4AFA-A25D-217F5563017C}"/>
            </c:ext>
          </c:extLst>
        </c:ser>
        <c:ser>
          <c:idx val="9"/>
          <c:order val="2"/>
          <c:tx>
            <c:strRef>
              <c:f>Sheet1!$L$1</c:f>
              <c:strCache>
                <c:ptCount val="1"/>
                <c:pt idx="0">
                  <c:v>ทองรูปพรรณ ขายออก (บาท)_yoy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Sheet1!$L$2:$L$239</c:f>
              <c:numCache>
                <c:formatCode>0.0</c:formatCode>
                <c:ptCount val="44"/>
                <c:pt idx="0">
                  <c:v>-1.4349290166082369</c:v>
                </c:pt>
                <c:pt idx="1">
                  <c:v>-4.3654500620707353</c:v>
                </c:pt>
                <c:pt idx="2">
                  <c:v>-5.2260108324745005</c:v>
                </c:pt>
                <c:pt idx="3">
                  <c:v>0.3215424471901116</c:v>
                </c:pt>
                <c:pt idx="4">
                  <c:v>-3.3111373268248911</c:v>
                </c:pt>
                <c:pt idx="5">
                  <c:v>-2.9601728218050738</c:v>
                </c:pt>
                <c:pt idx="6">
                  <c:v>-9.9920025433140438</c:v>
                </c:pt>
                <c:pt idx="7">
                  <c:v>-1.2033348330944733</c:v>
                </c:pt>
                <c:pt idx="8">
                  <c:v>-0.4633033504095323</c:v>
                </c:pt>
                <c:pt idx="9">
                  <c:v>1.3414348500287048</c:v>
                </c:pt>
                <c:pt idx="10">
                  <c:v>17.319198068647012</c:v>
                </c:pt>
                <c:pt idx="11">
                  <c:v>9.0962052816319101</c:v>
                </c:pt>
                <c:pt idx="12">
                  <c:v>22.614972814555244</c:v>
                </c:pt>
                <c:pt idx="13">
                  <c:v>27.239272479032579</c:v>
                </c:pt>
                <c:pt idx="14">
                  <c:v>30.005994452894328</c:v>
                </c:pt>
                <c:pt idx="15">
                  <c:v>24.248324606003081</c:v>
                </c:pt>
                <c:pt idx="16">
                  <c:v>4.1197433838221968</c:v>
                </c:pt>
                <c:pt idx="17">
                  <c:v>6.5738287736407699</c:v>
                </c:pt>
                <c:pt idx="18">
                  <c:v>-2.3623662063331921</c:v>
                </c:pt>
                <c:pt idx="19">
                  <c:v>7.5195417157550395</c:v>
                </c:pt>
                <c:pt idx="20">
                  <c:v>21.371298106859228</c:v>
                </c:pt>
                <c:pt idx="21">
                  <c:v>11.18868218983215</c:v>
                </c:pt>
                <c:pt idx="22">
                  <c:v>5.8624140969162966</c:v>
                </c:pt>
                <c:pt idx="23">
                  <c:v>3.8130069075312321</c:v>
                </c:pt>
                <c:pt idx="24">
                  <c:v>1.7024834406218758</c:v>
                </c:pt>
                <c:pt idx="25">
                  <c:v>5.5476267861964885</c:v>
                </c:pt>
                <c:pt idx="26">
                  <c:v>9.9039697774120157</c:v>
                </c:pt>
                <c:pt idx="27">
                  <c:v>13.723488372093001</c:v>
                </c:pt>
                <c:pt idx="28">
                  <c:v>17.880715789966089</c:v>
                </c:pt>
                <c:pt idx="29">
                  <c:v>25.436090958171434</c:v>
                </c:pt>
                <c:pt idx="30">
                  <c:v>24.294757350486734</c:v>
                </c:pt>
                <c:pt idx="31">
                  <c:v>26.275278061229713</c:v>
                </c:pt>
                <c:pt idx="32">
                  <c:v>18.823712367094188</c:v>
                </c:pt>
                <c:pt idx="33">
                  <c:v>13.556879290916669</c:v>
                </c:pt>
                <c:pt idx="34">
                  <c:v>17.580412121212106</c:v>
                </c:pt>
                <c:pt idx="35">
                  <c:v>27.857516244076393</c:v>
                </c:pt>
                <c:pt idx="36">
                  <c:v>25.300906691725757</c:v>
                </c:pt>
                <c:pt idx="37">
                  <c:v>27.594008224824165</c:v>
                </c:pt>
                <c:pt idx="38">
                  <c:v>27.071672271774631</c:v>
                </c:pt>
                <c:pt idx="39">
                  <c:v>21.991923264733742</c:v>
                </c:pt>
                <c:pt idx="40">
                  <c:v>28.163523455651955</c:v>
                </c:pt>
                <c:pt idx="41">
                  <c:v>46.734366685945645</c:v>
                </c:pt>
                <c:pt idx="42">
                  <c:v>43.124472123018279</c:v>
                </c:pt>
                <c:pt idx="43">
                  <c:v>39.384598745403423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7-4AFA-A25D-217F5563017C}"/>
            </c:ext>
          </c:extLst>
        </c:ser>
        <c:ser>
          <c:idx val="10"/>
          <c:order val="3"/>
          <c:tx>
            <c:strRef>
              <c:f>Sheet1!$M$1</c:f>
              <c:strCache>
                <c:ptCount val="1"/>
                <c:pt idx="0">
                  <c:v>ทองแท่ง รับซื้อ (บาท)_yoy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Sheet1!$M$2:$M$239</c:f>
              <c:numCache>
                <c:formatCode>0.0</c:formatCode>
                <c:ptCount val="44"/>
                <c:pt idx="0">
                  <c:v>-1.9535626023176604</c:v>
                </c:pt>
                <c:pt idx="1">
                  <c:v>-4.4889669179662093</c:v>
                </c:pt>
                <c:pt idx="2">
                  <c:v>-5.3702659208871353</c:v>
                </c:pt>
                <c:pt idx="3">
                  <c:v>0.3314502875924461</c:v>
                </c:pt>
                <c:pt idx="4">
                  <c:v>-3.4091913029444072</c:v>
                </c:pt>
                <c:pt idx="5">
                  <c:v>-3.0478649738197845</c:v>
                </c:pt>
                <c:pt idx="6">
                  <c:v>-10.283467101101991</c:v>
                </c:pt>
                <c:pt idx="7">
                  <c:v>-1.240291269590216</c:v>
                </c:pt>
                <c:pt idx="8">
                  <c:v>-0.47750757905957641</c:v>
                </c:pt>
                <c:pt idx="9">
                  <c:v>1.3824227689806889</c:v>
                </c:pt>
                <c:pt idx="10">
                  <c:v>17.882301939958808</c:v>
                </c:pt>
                <c:pt idx="11">
                  <c:v>9.3790734328345735</c:v>
                </c:pt>
                <c:pt idx="12">
                  <c:v>23.133893860014837</c:v>
                </c:pt>
                <c:pt idx="13">
                  <c:v>28.060227044404257</c:v>
                </c:pt>
                <c:pt idx="14">
                  <c:v>30.833593821825872</c:v>
                </c:pt>
                <c:pt idx="15">
                  <c:v>24.937724633183052</c:v>
                </c:pt>
                <c:pt idx="16">
                  <c:v>4.3731124406811688</c:v>
                </c:pt>
                <c:pt idx="17">
                  <c:v>6.7285421054097441</c:v>
                </c:pt>
                <c:pt idx="18">
                  <c:v>-2.4121674371801447</c:v>
                </c:pt>
                <c:pt idx="19">
                  <c:v>7.6906564234315624</c:v>
                </c:pt>
                <c:pt idx="20">
                  <c:v>21.883564215939288</c:v>
                </c:pt>
                <c:pt idx="21">
                  <c:v>11.435404096051329</c:v>
                </c:pt>
                <c:pt idx="22">
                  <c:v>5.9890549054905478</c:v>
                </c:pt>
                <c:pt idx="23">
                  <c:v>3.8935791654985934</c:v>
                </c:pt>
                <c:pt idx="24">
                  <c:v>1.7359647529963098</c:v>
                </c:pt>
                <c:pt idx="25">
                  <c:v>5.6574041551854037</c:v>
                </c:pt>
                <c:pt idx="26">
                  <c:v>10.105827546685518</c:v>
                </c:pt>
                <c:pt idx="27">
                  <c:v>14.002610169491518</c:v>
                </c:pt>
                <c:pt idx="28">
                  <c:v>18.226360543176654</c:v>
                </c:pt>
                <c:pt idx="29">
                  <c:v>25.912473694100541</c:v>
                </c:pt>
                <c:pt idx="30">
                  <c:v>24.744473437886612</c:v>
                </c:pt>
                <c:pt idx="31">
                  <c:v>26.744050165964111</c:v>
                </c:pt>
                <c:pt idx="32">
                  <c:v>19.131489270672802</c:v>
                </c:pt>
                <c:pt idx="33">
                  <c:v>13.757426721453498</c:v>
                </c:pt>
                <c:pt idx="34">
                  <c:v>17.101894218942192</c:v>
                </c:pt>
                <c:pt idx="35">
                  <c:v>27.528162030839411</c:v>
                </c:pt>
                <c:pt idx="36">
                  <c:v>24.93896607207229</c:v>
                </c:pt>
                <c:pt idx="37">
                  <c:v>27.262703873893528</c:v>
                </c:pt>
                <c:pt idx="38">
                  <c:v>26.731438888064488</c:v>
                </c:pt>
                <c:pt idx="39">
                  <c:v>21.595444069025049</c:v>
                </c:pt>
                <c:pt idx="40">
                  <c:v>27.860549257091634</c:v>
                </c:pt>
                <c:pt idx="41">
                  <c:v>46.688398826979494</c:v>
                </c:pt>
                <c:pt idx="42">
                  <c:v>43.030107279442831</c:v>
                </c:pt>
                <c:pt idx="43">
                  <c:v>39.245014245014261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27-4AFA-A25D-217F5563017C}"/>
            </c:ext>
          </c:extLst>
        </c:ser>
        <c:ser>
          <c:idx val="11"/>
          <c:order val="4"/>
          <c:tx>
            <c:strRef>
              <c:f>Sheet1!$N$1</c:f>
              <c:strCache>
                <c:ptCount val="1"/>
                <c:pt idx="0">
                  <c:v>ทองแท่ง ขายออก (บาท)_yoy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Sheet1!$N$2:$N$239</c:f>
              <c:numCache>
                <c:formatCode>0.0</c:formatCode>
                <c:ptCount val="44"/>
                <c:pt idx="0">
                  <c:v>-1.9441545576386261</c:v>
                </c:pt>
                <c:pt idx="1">
                  <c:v>-4.4678976634029368</c:v>
                </c:pt>
                <c:pt idx="2">
                  <c:v>-5.3456728950648795</c:v>
                </c:pt>
                <c:pt idx="3">
                  <c:v>0.32975679542204261</c:v>
                </c:pt>
                <c:pt idx="4">
                  <c:v>-3.3924476612522625</c:v>
                </c:pt>
                <c:pt idx="5">
                  <c:v>-3.0328905833540034</c:v>
                </c:pt>
                <c:pt idx="6">
                  <c:v>-10.233714560242447</c:v>
                </c:pt>
                <c:pt idx="7">
                  <c:v>-1.2339750281872455</c:v>
                </c:pt>
                <c:pt idx="8">
                  <c:v>-0.47508003153983225</c:v>
                </c:pt>
                <c:pt idx="9">
                  <c:v>1.3754183864040925</c:v>
                </c:pt>
                <c:pt idx="10">
                  <c:v>17.785922173116319</c:v>
                </c:pt>
                <c:pt idx="11">
                  <c:v>9.3307133100927473</c:v>
                </c:pt>
                <c:pt idx="12">
                  <c:v>23.19256553124805</c:v>
                </c:pt>
                <c:pt idx="13">
                  <c:v>27.91998200719712</c:v>
                </c:pt>
                <c:pt idx="14">
                  <c:v>30.69250480461244</c:v>
                </c:pt>
                <c:pt idx="15">
                  <c:v>24.820115214925593</c:v>
                </c:pt>
                <c:pt idx="16">
                  <c:v>4.2051538915409736</c:v>
                </c:pt>
                <c:pt idx="17">
                  <c:v>6.7022528124502969</c:v>
                </c:pt>
                <c:pt idx="18">
                  <c:v>-2.4037219281593423</c:v>
                </c:pt>
                <c:pt idx="19">
                  <c:v>7.6615985312848238</c:v>
                </c:pt>
                <c:pt idx="20">
                  <c:v>21.796487910779618</c:v>
                </c:pt>
                <c:pt idx="21">
                  <c:v>11.393530924267708</c:v>
                </c:pt>
                <c:pt idx="22">
                  <c:v>5.9675695067264485</c:v>
                </c:pt>
                <c:pt idx="23">
                  <c:v>3.8799148184698566</c:v>
                </c:pt>
                <c:pt idx="24">
                  <c:v>1.7302933818066748</c:v>
                </c:pt>
                <c:pt idx="25">
                  <c:v>5.6388072114301906</c:v>
                </c:pt>
                <c:pt idx="26">
                  <c:v>10.071615107896619</c:v>
                </c:pt>
                <c:pt idx="27">
                  <c:v>13.955304054054054</c:v>
                </c:pt>
                <c:pt idx="28">
                  <c:v>18.167828076081079</c:v>
                </c:pt>
                <c:pt idx="29">
                  <c:v>25.831841262313858</c:v>
                </c:pt>
                <c:pt idx="30">
                  <c:v>24.668368115851095</c:v>
                </c:pt>
                <c:pt idx="31">
                  <c:v>26.664763359982601</c:v>
                </c:pt>
                <c:pt idx="32">
                  <c:v>19.079496088585344</c:v>
                </c:pt>
                <c:pt idx="33">
                  <c:v>13.723591120625329</c:v>
                </c:pt>
                <c:pt idx="34">
                  <c:v>17.059926380368083</c:v>
                </c:pt>
                <c:pt idx="35">
                  <c:v>27.460087046837131</c:v>
                </c:pt>
                <c:pt idx="36">
                  <c:v>24.878205184429362</c:v>
                </c:pt>
                <c:pt idx="37">
                  <c:v>27.195682753581934</c:v>
                </c:pt>
                <c:pt idx="38">
                  <c:v>26.665490699166128</c:v>
                </c:pt>
                <c:pt idx="39">
                  <c:v>21.544613546508785</c:v>
                </c:pt>
                <c:pt idx="40">
                  <c:v>27.796271845179831</c:v>
                </c:pt>
                <c:pt idx="41">
                  <c:v>46.579122293739033</c:v>
                </c:pt>
                <c:pt idx="42">
                  <c:v>42.93190240152893</c:v>
                </c:pt>
                <c:pt idx="43">
                  <c:v>39.159195276623649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27-4AFA-A25D-217F5563017C}"/>
            </c:ext>
          </c:extLst>
        </c:ser>
        <c:ser>
          <c:idx val="12"/>
          <c:order val="5"/>
          <c:tx>
            <c:strRef>
              <c:f>Sheet1!$O$1</c:f>
              <c:strCache>
                <c:ptCount val="1"/>
                <c:pt idx="0">
                  <c:v>US$ ต่อออนซ์_yoy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Sheet1!$O$2:$O$239</c:f>
              <c:numCache>
                <c:formatCode>0.0</c:formatCode>
                <c:ptCount val="44"/>
                <c:pt idx="0">
                  <c:v>-1.007210437047334</c:v>
                </c:pt>
                <c:pt idx="1">
                  <c:v>-0.9028104883027197</c:v>
                </c:pt>
                <c:pt idx="2">
                  <c:v>-0.73713962690786161</c:v>
                </c:pt>
                <c:pt idx="3">
                  <c:v>9.9664860734875305</c:v>
                </c:pt>
                <c:pt idx="4">
                  <c:v>7.710109622411693</c:v>
                </c:pt>
                <c:pt idx="5">
                  <c:v>1.6192664184425212</c:v>
                </c:pt>
                <c:pt idx="6">
                  <c:v>-8.9781847726220008</c:v>
                </c:pt>
                <c:pt idx="7">
                  <c:v>-1.1637914018396458</c:v>
                </c:pt>
                <c:pt idx="8">
                  <c:v>-1.8161257491801592</c:v>
                </c:pt>
                <c:pt idx="9">
                  <c:v>5.9318334190872548</c:v>
                </c:pt>
                <c:pt idx="10">
                  <c:v>25.992508738414813</c:v>
                </c:pt>
                <c:pt idx="11">
                  <c:v>18.379786069770972</c:v>
                </c:pt>
                <c:pt idx="12">
                  <c:v>22.071470254000431</c:v>
                </c:pt>
                <c:pt idx="13">
                  <c:v>27.643634597411022</c:v>
                </c:pt>
                <c:pt idx="14">
                  <c:v>27.407618303527087</c:v>
                </c:pt>
                <c:pt idx="15">
                  <c:v>25.374353022154139</c:v>
                </c:pt>
                <c:pt idx="16">
                  <c:v>8.3802466961460738</c:v>
                </c:pt>
                <c:pt idx="17">
                  <c:v>5.8352455519297166</c:v>
                </c:pt>
                <c:pt idx="18">
                  <c:v>-7.4096401195270829</c:v>
                </c:pt>
                <c:pt idx="19">
                  <c:v>-3.5383845288523048</c:v>
                </c:pt>
                <c:pt idx="20">
                  <c:v>13.075146253133994</c:v>
                </c:pt>
                <c:pt idx="21">
                  <c:v>0.20428508392032541</c:v>
                </c:pt>
                <c:pt idx="22">
                  <c:v>-5.4291759977998169</c:v>
                </c:pt>
                <c:pt idx="23">
                  <c:v>0.28066533866764587</c:v>
                </c:pt>
                <c:pt idx="24">
                  <c:v>-1.9560341420601191</c:v>
                </c:pt>
                <c:pt idx="25">
                  <c:v>5.6833132182970729</c:v>
                </c:pt>
                <c:pt idx="26">
                  <c:v>13.830759552268916</c:v>
                </c:pt>
                <c:pt idx="27">
                  <c:v>13.403071444469177</c:v>
                </c:pt>
                <c:pt idx="28">
                  <c:v>13.120478269518699</c:v>
                </c:pt>
                <c:pt idx="29">
                  <c:v>19.605341673696984</c:v>
                </c:pt>
                <c:pt idx="30">
                  <c:v>34.127571716076289</c:v>
                </c:pt>
                <c:pt idx="31">
                  <c:v>29.566552834039896</c:v>
                </c:pt>
                <c:pt idx="32">
                  <c:v>25.085498762061235</c:v>
                </c:pt>
                <c:pt idx="33">
                  <c:v>23.818962527880402</c:v>
                </c:pt>
                <c:pt idx="34">
                  <c:v>26.832807758925185</c:v>
                </c:pt>
                <c:pt idx="35">
                  <c:v>38.817589072203958</c:v>
                </c:pt>
                <c:pt idx="36">
                  <c:v>37.309907785942983</c:v>
                </c:pt>
                <c:pt idx="37">
                  <c:v>35.472290052880965</c:v>
                </c:pt>
                <c:pt idx="38">
                  <c:v>29.996035047074088</c:v>
                </c:pt>
                <c:pt idx="39">
                  <c:v>24.982350536915249</c:v>
                </c:pt>
                <c:pt idx="40">
                  <c:v>37.646350865975904</c:v>
                </c:pt>
                <c:pt idx="41">
                  <c:v>53.740527972067696</c:v>
                </c:pt>
                <c:pt idx="42">
                  <c:v>51.16744545693345</c:v>
                </c:pt>
                <c:pt idx="43">
                  <c:v>47.446640869854519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27-4AFA-A25D-217F5563017C}"/>
            </c:ext>
          </c:extLst>
        </c:ser>
        <c:ser>
          <c:idx val="13"/>
          <c:order val="6"/>
          <c:tx>
            <c:strRef>
              <c:f>Sheet1!$P$1</c:f>
              <c:strCache>
                <c:ptCount val="1"/>
                <c:pt idx="0">
                  <c:v>Baht / US$_yoy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Sheet1!$P$2:$P$239</c:f>
              <c:numCache>
                <c:formatCode>0.0</c:formatCode>
                <c:ptCount val="44"/>
                <c:pt idx="0">
                  <c:v>-0.9645390070922133</c:v>
                </c:pt>
                <c:pt idx="1">
                  <c:v>-3.6533559898045809</c:v>
                </c:pt>
                <c:pt idx="2">
                  <c:v>-4.5755395683453344</c:v>
                </c:pt>
                <c:pt idx="3">
                  <c:v>-8.7611607142857082</c:v>
                </c:pt>
                <c:pt idx="4">
                  <c:v>-10.398166714408461</c:v>
                </c:pt>
                <c:pt idx="5">
                  <c:v>-4.4973544973544932</c:v>
                </c:pt>
                <c:pt idx="6">
                  <c:v>-1.5681544028950327</c:v>
                </c:pt>
                <c:pt idx="7">
                  <c:v>6.1162079510694412E-2</c:v>
                </c:pt>
                <c:pt idx="8">
                  <c:v>1.470588235294116</c:v>
                </c:pt>
                <c:pt idx="9">
                  <c:v>-4.216682056017234</c:v>
                </c:pt>
                <c:pt idx="10">
                  <c:v>-6.3112745098039369</c:v>
                </c:pt>
                <c:pt idx="11">
                  <c:v>-7.6100244498777556</c:v>
                </c:pt>
                <c:pt idx="12">
                  <c:v>1.2287334593573007</c:v>
                </c:pt>
                <c:pt idx="13">
                  <c:v>0.16066838046273801</c:v>
                </c:pt>
                <c:pt idx="14">
                  <c:v>2.5833878351864143</c:v>
                </c:pt>
                <c:pt idx="15">
                  <c:v>-0.4631161098246821</c:v>
                </c:pt>
                <c:pt idx="16">
                  <c:v>-4.1705571117336007</c:v>
                </c:pt>
                <c:pt idx="17">
                  <c:v>0.86621751684312187</c:v>
                </c:pt>
                <c:pt idx="18">
                  <c:v>5.3873127191584445</c:v>
                </c:pt>
                <c:pt idx="19">
                  <c:v>11.598537720172814</c:v>
                </c:pt>
                <c:pt idx="20">
                  <c:v>7.9571289379668713</c:v>
                </c:pt>
                <c:pt idx="21">
                  <c:v>11.13231552162847</c:v>
                </c:pt>
                <c:pt idx="22">
                  <c:v>11.947973381730165</c:v>
                </c:pt>
                <c:pt idx="23">
                  <c:v>3.6033353186420527</c:v>
                </c:pt>
                <c:pt idx="24">
                  <c:v>3.7003610108303064</c:v>
                </c:pt>
                <c:pt idx="25">
                  <c:v>-5.7240984544932871E-2</c:v>
                </c:pt>
                <c:pt idx="26">
                  <c:v>-3.1613077546608963</c:v>
                </c:pt>
                <c:pt idx="27">
                  <c:v>0.48864616269044348</c:v>
                </c:pt>
                <c:pt idx="28">
                  <c:v>4.3806208297069844</c:v>
                </c:pt>
                <c:pt idx="29">
                  <c:v>5.1832760595647045</c:v>
                </c:pt>
                <c:pt idx="30">
                  <c:v>-7.0870535714285978</c:v>
                </c:pt>
                <c:pt idx="31">
                  <c:v>-2.2311212814645387</c:v>
                </c:pt>
                <c:pt idx="32">
                  <c:v>-4.7526403557531864</c:v>
                </c:pt>
                <c:pt idx="33">
                  <c:v>-8.0794341675734529</c:v>
                </c:pt>
                <c:pt idx="34">
                  <c:v>-7.6944065484311039</c:v>
                </c:pt>
                <c:pt idx="35">
                  <c:v>-8.113258916417081</c:v>
                </c:pt>
                <c:pt idx="36">
                  <c:v>-9.0733590733590717</c:v>
                </c:pt>
                <c:pt idx="37">
                  <c:v>-6.0736902705814515</c:v>
                </c:pt>
                <c:pt idx="38">
                  <c:v>-2.5825825825825888</c:v>
                </c:pt>
                <c:pt idx="39">
                  <c:v>-2.7569673359304545</c:v>
                </c:pt>
                <c:pt idx="40">
                  <c:v>-7.1407837445573392</c:v>
                </c:pt>
                <c:pt idx="41">
                  <c:v>-4.6518431831480314</c:v>
                </c:pt>
                <c:pt idx="42">
                  <c:v>-5.4566676393347109</c:v>
                </c:pt>
                <c:pt idx="43">
                  <c:v>-5.6425406203840538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27-4AFA-A25D-217F5563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018831"/>
        <c:axId val="2009040911"/>
      </c:lineChart>
      <c:catAx>
        <c:axId val="20090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40911"/>
        <c:crosses val="autoZero"/>
        <c:auto val="1"/>
        <c:lblAlgn val="ctr"/>
        <c:lblOffset val="100"/>
        <c:noMultiLvlLbl val="0"/>
      </c:catAx>
      <c:valAx>
        <c:axId val="200904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188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Sheet1!$C$1</c:f>
              <c:strCache>
                <c:ptCount val="1"/>
                <c:pt idx="0">
                  <c:v>ทองรูปพรรณ รับซื้อ (บาท)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Sheet1!$C$2:$C$239</c:f>
              <c:numCache>
                <c:formatCode>General</c:formatCode>
                <c:ptCount val="44"/>
                <c:pt idx="0">
                  <c:v>19894.97</c:v>
                </c:pt>
                <c:pt idx="1">
                  <c:v>19888.75</c:v>
                </c:pt>
                <c:pt idx="2">
                  <c:v>20200.7</c:v>
                </c:pt>
                <c:pt idx="3">
                  <c:v>19184.400000000001</c:v>
                </c:pt>
                <c:pt idx="4">
                  <c:v>19217.830000000002</c:v>
                </c:pt>
                <c:pt idx="5">
                  <c:v>19282.939999999999</c:v>
                </c:pt>
                <c:pt idx="6">
                  <c:v>18122.259999999998</c:v>
                </c:pt>
                <c:pt idx="7">
                  <c:v>18947.080000000002</c:v>
                </c:pt>
                <c:pt idx="8">
                  <c:v>19127.259999999998</c:v>
                </c:pt>
                <c:pt idx="9">
                  <c:v>19549.12</c:v>
                </c:pt>
                <c:pt idx="10">
                  <c:v>21361.05</c:v>
                </c:pt>
                <c:pt idx="11">
                  <c:v>20724.89</c:v>
                </c:pt>
                <c:pt idx="12">
                  <c:v>23549.89</c:v>
                </c:pt>
                <c:pt idx="13">
                  <c:v>25035.57</c:v>
                </c:pt>
                <c:pt idx="14">
                  <c:v>27949.21</c:v>
                </c:pt>
                <c:pt idx="15">
                  <c:v>25891.03</c:v>
                </c:pt>
                <c:pt idx="16">
                  <c:v>24581.66</c:v>
                </c:pt>
                <c:pt idx="17">
                  <c:v>26722.42</c:v>
                </c:pt>
                <c:pt idx="18">
                  <c:v>27275.17</c:v>
                </c:pt>
                <c:pt idx="19">
                  <c:v>27882.05</c:v>
                </c:pt>
                <c:pt idx="20">
                  <c:v>29959.53</c:v>
                </c:pt>
                <c:pt idx="21">
                  <c:v>29775.41</c:v>
                </c:pt>
                <c:pt idx="22">
                  <c:v>28907.200000000001</c:v>
                </c:pt>
                <c:pt idx="23">
                  <c:v>28967.95</c:v>
                </c:pt>
                <c:pt idx="24">
                  <c:v>30481.71</c:v>
                </c:pt>
                <c:pt idx="25">
                  <c:v>31459.33</c:v>
                </c:pt>
                <c:pt idx="26">
                  <c:v>31829.59</c:v>
                </c:pt>
                <c:pt idx="27">
                  <c:v>33023.14</c:v>
                </c:pt>
                <c:pt idx="28">
                  <c:v>36037.07</c:v>
                </c:pt>
                <c:pt idx="29">
                  <c:v>39611.870000000003</c:v>
                </c:pt>
                <c:pt idx="30">
                  <c:v>39706.47</c:v>
                </c:pt>
                <c:pt idx="31">
                  <c:v>41858.51</c:v>
                </c:pt>
                <c:pt idx="32">
                  <c:v>42929.19</c:v>
                </c:pt>
                <c:pt idx="33">
                  <c:v>45310.71</c:v>
                </c:pt>
                <c:pt idx="34">
                  <c:v>46745.279999999999</c:v>
                </c:pt>
                <c:pt idx="35">
                  <c:v>50516.62</c:v>
                </c:pt>
                <c:pt idx="36">
                  <c:v>50235.75</c:v>
                </c:pt>
                <c:pt idx="37">
                  <c:v>50607</c:v>
                </c:pt>
                <c:pt idx="38">
                  <c:v>50218.9</c:v>
                </c:pt>
                <c:pt idx="39">
                  <c:v>50507.87</c:v>
                </c:pt>
                <c:pt idx="40">
                  <c:v>54186.5</c:v>
                </c:pt>
                <c:pt idx="41">
                  <c:v>61275.6</c:v>
                </c:pt>
                <c:pt idx="42">
                  <c:v>61277.93</c:v>
                </c:pt>
                <c:pt idx="43">
                  <c:v>62265.91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7-4660-A3EC-F7D939F78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018831"/>
        <c:axId val="2009040911"/>
        <c:extLst>
          <c:ext xmlns:c15="http://schemas.microsoft.com/office/drawing/2012/chart" uri="{02D57815-91ED-43cb-92C2-25804820EDAC}">
            <c15:filteredLineSeries>
              <c15:ser>
                <c:idx val="8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ทองรูปพรรณ ค่าธรรมเนียม (บาท)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prstDash val="solid"/>
                    </a:ln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Sheet1!$A$2:$B$239</c15:sqref>
                        </c15:formulaRef>
                      </c:ext>
                    </c:extLst>
                    <c:multiLvlStrCache>
                      <c:ptCount val="44"/>
                      <c:lvl>
                        <c:pt idx="0">
                          <c:v>มีนาคม</c:v>
                        </c:pt>
                        <c:pt idx="1">
                          <c:v>มิถุนายน</c:v>
                        </c:pt>
                        <c:pt idx="2">
                          <c:v>กันยายน</c:v>
                        </c:pt>
                        <c:pt idx="3">
                          <c:v>ธันวาคม</c:v>
                        </c:pt>
                        <c:pt idx="4">
                          <c:v>มีนาคม</c:v>
                        </c:pt>
                        <c:pt idx="5">
                          <c:v>มิถุนายน</c:v>
                        </c:pt>
                        <c:pt idx="6">
                          <c:v>กันยายน</c:v>
                        </c:pt>
                        <c:pt idx="7">
                          <c:v>ธันวาคม</c:v>
                        </c:pt>
                        <c:pt idx="8">
                          <c:v>มีนาคม</c:v>
                        </c:pt>
                        <c:pt idx="9">
                          <c:v>มิถุนายน</c:v>
                        </c:pt>
                        <c:pt idx="10">
                          <c:v>กันยายน</c:v>
                        </c:pt>
                        <c:pt idx="11">
                          <c:v>ธันวาคม</c:v>
                        </c:pt>
                        <c:pt idx="12">
                          <c:v>มีนาคม</c:v>
                        </c:pt>
                        <c:pt idx="13">
                          <c:v>มิถุนายน</c:v>
                        </c:pt>
                        <c:pt idx="14">
                          <c:v>กันยายน</c:v>
                        </c:pt>
                        <c:pt idx="15">
                          <c:v>ธันวาคม</c:v>
                        </c:pt>
                        <c:pt idx="16">
                          <c:v>มีนาคม</c:v>
                        </c:pt>
                        <c:pt idx="17">
                          <c:v>มิถุนายน</c:v>
                        </c:pt>
                        <c:pt idx="18">
                          <c:v>กันยายน</c:v>
                        </c:pt>
                        <c:pt idx="19">
                          <c:v>ธันวาคม</c:v>
                        </c:pt>
                        <c:pt idx="20">
                          <c:v>มีนาคม</c:v>
                        </c:pt>
                        <c:pt idx="21">
                          <c:v>มิถุนายน</c:v>
                        </c:pt>
                        <c:pt idx="22">
                          <c:v>กันยายน</c:v>
                        </c:pt>
                        <c:pt idx="23">
                          <c:v>ธันวาคม</c:v>
                        </c:pt>
                        <c:pt idx="24">
                          <c:v>มีนาคม</c:v>
                        </c:pt>
                        <c:pt idx="25">
                          <c:v>มิถุนายน</c:v>
                        </c:pt>
                        <c:pt idx="26">
                          <c:v>กันยายน</c:v>
                        </c:pt>
                        <c:pt idx="27">
                          <c:v>ธันวาคม</c:v>
                        </c:pt>
                        <c:pt idx="28">
                          <c:v>มีนาคม</c:v>
                        </c:pt>
                        <c:pt idx="29">
                          <c:v>มิถุนายน</c:v>
                        </c:pt>
                        <c:pt idx="30">
                          <c:v>กันยายน</c:v>
                        </c:pt>
                        <c:pt idx="31">
                          <c:v>ธันวาคม</c:v>
                        </c:pt>
                        <c:pt idx="32">
                          <c:v>มกราคม</c:v>
                        </c:pt>
                        <c:pt idx="33">
                          <c:v>กุมภาพันธ์</c:v>
                        </c:pt>
                        <c:pt idx="34">
                          <c:v>มีนาคม</c:v>
                        </c:pt>
                        <c:pt idx="35">
                          <c:v>เมษายน</c:v>
                        </c:pt>
                        <c:pt idx="36">
                          <c:v>พฤษภาคม</c:v>
                        </c:pt>
                        <c:pt idx="37">
                          <c:v>มิถุนายน</c:v>
                        </c:pt>
                        <c:pt idx="38">
                          <c:v>กรกฎาคม</c:v>
                        </c:pt>
                        <c:pt idx="39">
                          <c:v>สิงหาคม</c:v>
                        </c:pt>
                        <c:pt idx="40">
                          <c:v>กันยายน</c:v>
                        </c:pt>
                        <c:pt idx="41">
                          <c:v>ตุลาคม</c:v>
                        </c:pt>
                        <c:pt idx="42">
                          <c:v>พฤศจิกายน</c:v>
                        </c:pt>
                        <c:pt idx="43">
                          <c:v>ธันวาคม</c:v>
                        </c:pt>
                      </c:lvl>
                      <c:lvl>
                        <c:pt idx="0">
                          <c:v>2560</c:v>
                        </c:pt>
                        <c:pt idx="1">
                          <c:v>2560</c:v>
                        </c:pt>
                        <c:pt idx="2">
                          <c:v>2560</c:v>
                        </c:pt>
                        <c:pt idx="3">
                          <c:v>2560</c:v>
                        </c:pt>
                        <c:pt idx="4">
                          <c:v>2561</c:v>
                        </c:pt>
                        <c:pt idx="5">
                          <c:v>2561</c:v>
                        </c:pt>
                        <c:pt idx="6">
                          <c:v>2561</c:v>
                        </c:pt>
                        <c:pt idx="7">
                          <c:v>2561</c:v>
                        </c:pt>
                        <c:pt idx="8">
                          <c:v>2562</c:v>
                        </c:pt>
                        <c:pt idx="9">
                          <c:v>2562</c:v>
                        </c:pt>
                        <c:pt idx="10">
                          <c:v>2562</c:v>
                        </c:pt>
                        <c:pt idx="11">
                          <c:v>2562</c:v>
                        </c:pt>
                        <c:pt idx="12">
                          <c:v>2563</c:v>
                        </c:pt>
                        <c:pt idx="13">
                          <c:v>2563</c:v>
                        </c:pt>
                        <c:pt idx="14">
                          <c:v>2563</c:v>
                        </c:pt>
                        <c:pt idx="15">
                          <c:v>2563</c:v>
                        </c:pt>
                        <c:pt idx="16">
                          <c:v>2564</c:v>
                        </c:pt>
                        <c:pt idx="17">
                          <c:v>2564</c:v>
                        </c:pt>
                        <c:pt idx="18">
                          <c:v>2564</c:v>
                        </c:pt>
                        <c:pt idx="19">
                          <c:v>2564</c:v>
                        </c:pt>
                        <c:pt idx="20">
                          <c:v>2565</c:v>
                        </c:pt>
                        <c:pt idx="21">
                          <c:v>2565</c:v>
                        </c:pt>
                        <c:pt idx="22">
                          <c:v>2565</c:v>
                        </c:pt>
                        <c:pt idx="23">
                          <c:v>2565</c:v>
                        </c:pt>
                        <c:pt idx="24">
                          <c:v>2566</c:v>
                        </c:pt>
                        <c:pt idx="25">
                          <c:v>2566</c:v>
                        </c:pt>
                        <c:pt idx="26">
                          <c:v>2566</c:v>
                        </c:pt>
                        <c:pt idx="27">
                          <c:v>2566</c:v>
                        </c:pt>
                        <c:pt idx="28">
                          <c:v>2567</c:v>
                        </c:pt>
                        <c:pt idx="29">
                          <c:v>2567</c:v>
                        </c:pt>
                        <c:pt idx="30">
                          <c:v>2567</c:v>
                        </c:pt>
                        <c:pt idx="31">
                          <c:v>2567</c:v>
                        </c:pt>
                        <c:pt idx="32">
                          <c:v>2568</c:v>
                        </c:pt>
                        <c:pt idx="33">
                          <c:v>2568</c:v>
                        </c:pt>
                        <c:pt idx="34">
                          <c:v>2568</c:v>
                        </c:pt>
                        <c:pt idx="35">
                          <c:v>2568</c:v>
                        </c:pt>
                        <c:pt idx="36">
                          <c:v>2568</c:v>
                        </c:pt>
                        <c:pt idx="37">
                          <c:v>2568</c:v>
                        </c:pt>
                        <c:pt idx="38">
                          <c:v>2568</c:v>
                        </c:pt>
                        <c:pt idx="39">
                          <c:v>2568</c:v>
                        </c:pt>
                        <c:pt idx="40">
                          <c:v>2568</c:v>
                        </c:pt>
                        <c:pt idx="41">
                          <c:v>2568</c:v>
                        </c:pt>
                        <c:pt idx="42">
                          <c:v>2568</c:v>
                        </c:pt>
                        <c:pt idx="43">
                          <c:v>2568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Sheet1!$D$2:$D$239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966.14</c:v>
                      </c:pt>
                      <c:pt idx="1">
                        <c:v>965.09</c:v>
                      </c:pt>
                      <c:pt idx="2">
                        <c:v>968.53</c:v>
                      </c:pt>
                      <c:pt idx="3">
                        <c:v>952.14</c:v>
                      </c:pt>
                      <c:pt idx="4">
                        <c:v>952.54</c:v>
                      </c:pt>
                      <c:pt idx="5">
                        <c:v>953.6</c:v>
                      </c:pt>
                      <c:pt idx="6">
                        <c:v>931.74</c:v>
                      </c:pt>
                      <c:pt idx="7">
                        <c:v>947.15</c:v>
                      </c:pt>
                      <c:pt idx="8">
                        <c:v>949.67</c:v>
                      </c:pt>
                      <c:pt idx="9">
                        <c:v>958.88</c:v>
                      </c:pt>
                      <c:pt idx="10">
                        <c:v>992.95</c:v>
                      </c:pt>
                      <c:pt idx="11">
                        <c:v>978.96</c:v>
                      </c:pt>
                      <c:pt idx="12">
                        <c:v>1067.4100000000001</c:v>
                      </c:pt>
                      <c:pt idx="13">
                        <c:v>1058.6600000000001</c:v>
                      </c:pt>
                      <c:pt idx="14">
                        <c:v>1112.33</c:v>
                      </c:pt>
                      <c:pt idx="15">
                        <c:v>1075.6300000000001</c:v>
                      </c:pt>
                      <c:pt idx="16">
                        <c:v>1049.82</c:v>
                      </c:pt>
                      <c:pt idx="17">
                        <c:v>1087.2</c:v>
                      </c:pt>
                      <c:pt idx="18">
                        <c:v>1099.83</c:v>
                      </c:pt>
                      <c:pt idx="19">
                        <c:v>1112.4000000000001</c:v>
                      </c:pt>
                      <c:pt idx="20">
                        <c:v>1149.73</c:v>
                      </c:pt>
                      <c:pt idx="21">
                        <c:v>1145.75</c:v>
                      </c:pt>
                      <c:pt idx="22">
                        <c:v>1131.26</c:v>
                      </c:pt>
                      <c:pt idx="23">
                        <c:v>1132.05</c:v>
                      </c:pt>
                      <c:pt idx="24">
                        <c:v>1157.18</c:v>
                      </c:pt>
                      <c:pt idx="25">
                        <c:v>1177.21</c:v>
                      </c:pt>
                      <c:pt idx="26">
                        <c:v>1183.8800000000001</c:v>
                      </c:pt>
                      <c:pt idx="27">
                        <c:v>1207.6199999999999</c:v>
                      </c:pt>
                      <c:pt idx="28">
                        <c:v>1259.08</c:v>
                      </c:pt>
                      <c:pt idx="29">
                        <c:v>1326.13</c:v>
                      </c:pt>
                      <c:pt idx="30">
                        <c:v>1327.53</c:v>
                      </c:pt>
                      <c:pt idx="31">
                        <c:v>1366.49</c:v>
                      </c:pt>
                      <c:pt idx="32">
                        <c:v>1387.48</c:v>
                      </c:pt>
                      <c:pt idx="33">
                        <c:v>1428.87</c:v>
                      </c:pt>
                      <c:pt idx="34">
                        <c:v>1756.65</c:v>
                      </c:pt>
                      <c:pt idx="35">
                        <c:v>1825.69</c:v>
                      </c:pt>
                      <c:pt idx="36">
                        <c:v>1819.81</c:v>
                      </c:pt>
                      <c:pt idx="37">
                        <c:v>1933.39</c:v>
                      </c:pt>
                      <c:pt idx="38">
                        <c:v>1923.69</c:v>
                      </c:pt>
                      <c:pt idx="39">
                        <c:v>1930.59</c:v>
                      </c:pt>
                      <c:pt idx="40">
                        <c:v>2005.8</c:v>
                      </c:pt>
                      <c:pt idx="41">
                        <c:v>2150.33</c:v>
                      </c:pt>
                      <c:pt idx="42">
                        <c:v>2150.0700000000002</c:v>
                      </c:pt>
                      <c:pt idx="43">
                        <c:v>2171.59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E37-4660-A3EC-F7D939F78D2D}"/>
                  </c:ext>
                </c:extLst>
              </c15:ser>
            </c15:filteredLineSeries>
            <c15:filteredLineSeries>
              <c15:ser>
                <c:idx val="9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ทองรูปพรรณ ขายออก (บาท)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prstDash val="solid"/>
                    </a:ln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Sheet1!$A$2:$B$239</c15:sqref>
                        </c15:formulaRef>
                      </c:ext>
                    </c:extLst>
                    <c:multiLvlStrCache>
                      <c:ptCount val="44"/>
                      <c:lvl>
                        <c:pt idx="0">
                          <c:v>มีนาคม</c:v>
                        </c:pt>
                        <c:pt idx="1">
                          <c:v>มิถุนายน</c:v>
                        </c:pt>
                        <c:pt idx="2">
                          <c:v>กันยายน</c:v>
                        </c:pt>
                        <c:pt idx="3">
                          <c:v>ธันวาคม</c:v>
                        </c:pt>
                        <c:pt idx="4">
                          <c:v>มีนาคม</c:v>
                        </c:pt>
                        <c:pt idx="5">
                          <c:v>มิถุนายน</c:v>
                        </c:pt>
                        <c:pt idx="6">
                          <c:v>กันยายน</c:v>
                        </c:pt>
                        <c:pt idx="7">
                          <c:v>ธันวาคม</c:v>
                        </c:pt>
                        <c:pt idx="8">
                          <c:v>มีนาคม</c:v>
                        </c:pt>
                        <c:pt idx="9">
                          <c:v>มิถุนายน</c:v>
                        </c:pt>
                        <c:pt idx="10">
                          <c:v>กันยายน</c:v>
                        </c:pt>
                        <c:pt idx="11">
                          <c:v>ธันวาคม</c:v>
                        </c:pt>
                        <c:pt idx="12">
                          <c:v>มีนาคม</c:v>
                        </c:pt>
                        <c:pt idx="13">
                          <c:v>มิถุนายน</c:v>
                        </c:pt>
                        <c:pt idx="14">
                          <c:v>กันยายน</c:v>
                        </c:pt>
                        <c:pt idx="15">
                          <c:v>ธันวาคม</c:v>
                        </c:pt>
                        <c:pt idx="16">
                          <c:v>มีนาคม</c:v>
                        </c:pt>
                        <c:pt idx="17">
                          <c:v>มิถุนายน</c:v>
                        </c:pt>
                        <c:pt idx="18">
                          <c:v>กันยายน</c:v>
                        </c:pt>
                        <c:pt idx="19">
                          <c:v>ธันวาคม</c:v>
                        </c:pt>
                        <c:pt idx="20">
                          <c:v>มีนาคม</c:v>
                        </c:pt>
                        <c:pt idx="21">
                          <c:v>มิถุนายน</c:v>
                        </c:pt>
                        <c:pt idx="22">
                          <c:v>กันยายน</c:v>
                        </c:pt>
                        <c:pt idx="23">
                          <c:v>ธันวาคม</c:v>
                        </c:pt>
                        <c:pt idx="24">
                          <c:v>มีนาคม</c:v>
                        </c:pt>
                        <c:pt idx="25">
                          <c:v>มิถุนายน</c:v>
                        </c:pt>
                        <c:pt idx="26">
                          <c:v>กันยายน</c:v>
                        </c:pt>
                        <c:pt idx="27">
                          <c:v>ธันวาคม</c:v>
                        </c:pt>
                        <c:pt idx="28">
                          <c:v>มีนาคม</c:v>
                        </c:pt>
                        <c:pt idx="29">
                          <c:v>มิถุนายน</c:v>
                        </c:pt>
                        <c:pt idx="30">
                          <c:v>กันยายน</c:v>
                        </c:pt>
                        <c:pt idx="31">
                          <c:v>ธันวาคม</c:v>
                        </c:pt>
                        <c:pt idx="32">
                          <c:v>มกราคม</c:v>
                        </c:pt>
                        <c:pt idx="33">
                          <c:v>กุมภาพันธ์</c:v>
                        </c:pt>
                        <c:pt idx="34">
                          <c:v>มีนาคม</c:v>
                        </c:pt>
                        <c:pt idx="35">
                          <c:v>เมษายน</c:v>
                        </c:pt>
                        <c:pt idx="36">
                          <c:v>พฤษภาคม</c:v>
                        </c:pt>
                        <c:pt idx="37">
                          <c:v>มิถุนายน</c:v>
                        </c:pt>
                        <c:pt idx="38">
                          <c:v>กรกฎาคม</c:v>
                        </c:pt>
                        <c:pt idx="39">
                          <c:v>สิงหาคม</c:v>
                        </c:pt>
                        <c:pt idx="40">
                          <c:v>กันยายน</c:v>
                        </c:pt>
                        <c:pt idx="41">
                          <c:v>ตุลาคม</c:v>
                        </c:pt>
                        <c:pt idx="42">
                          <c:v>พฤศจิกายน</c:v>
                        </c:pt>
                        <c:pt idx="43">
                          <c:v>ธันวาคม</c:v>
                        </c:pt>
                      </c:lvl>
                      <c:lvl>
                        <c:pt idx="0">
                          <c:v>2560</c:v>
                        </c:pt>
                        <c:pt idx="1">
                          <c:v>2560</c:v>
                        </c:pt>
                        <c:pt idx="2">
                          <c:v>2560</c:v>
                        </c:pt>
                        <c:pt idx="3">
                          <c:v>2560</c:v>
                        </c:pt>
                        <c:pt idx="4">
                          <c:v>2561</c:v>
                        </c:pt>
                        <c:pt idx="5">
                          <c:v>2561</c:v>
                        </c:pt>
                        <c:pt idx="6">
                          <c:v>2561</c:v>
                        </c:pt>
                        <c:pt idx="7">
                          <c:v>2561</c:v>
                        </c:pt>
                        <c:pt idx="8">
                          <c:v>2562</c:v>
                        </c:pt>
                        <c:pt idx="9">
                          <c:v>2562</c:v>
                        </c:pt>
                        <c:pt idx="10">
                          <c:v>2562</c:v>
                        </c:pt>
                        <c:pt idx="11">
                          <c:v>2562</c:v>
                        </c:pt>
                        <c:pt idx="12">
                          <c:v>2563</c:v>
                        </c:pt>
                        <c:pt idx="13">
                          <c:v>2563</c:v>
                        </c:pt>
                        <c:pt idx="14">
                          <c:v>2563</c:v>
                        </c:pt>
                        <c:pt idx="15">
                          <c:v>2563</c:v>
                        </c:pt>
                        <c:pt idx="16">
                          <c:v>2564</c:v>
                        </c:pt>
                        <c:pt idx="17">
                          <c:v>2564</c:v>
                        </c:pt>
                        <c:pt idx="18">
                          <c:v>2564</c:v>
                        </c:pt>
                        <c:pt idx="19">
                          <c:v>2564</c:v>
                        </c:pt>
                        <c:pt idx="20">
                          <c:v>2565</c:v>
                        </c:pt>
                        <c:pt idx="21">
                          <c:v>2565</c:v>
                        </c:pt>
                        <c:pt idx="22">
                          <c:v>2565</c:v>
                        </c:pt>
                        <c:pt idx="23">
                          <c:v>2565</c:v>
                        </c:pt>
                        <c:pt idx="24">
                          <c:v>2566</c:v>
                        </c:pt>
                        <c:pt idx="25">
                          <c:v>2566</c:v>
                        </c:pt>
                        <c:pt idx="26">
                          <c:v>2566</c:v>
                        </c:pt>
                        <c:pt idx="27">
                          <c:v>2566</c:v>
                        </c:pt>
                        <c:pt idx="28">
                          <c:v>2567</c:v>
                        </c:pt>
                        <c:pt idx="29">
                          <c:v>2567</c:v>
                        </c:pt>
                        <c:pt idx="30">
                          <c:v>2567</c:v>
                        </c:pt>
                        <c:pt idx="31">
                          <c:v>2567</c:v>
                        </c:pt>
                        <c:pt idx="32">
                          <c:v>2568</c:v>
                        </c:pt>
                        <c:pt idx="33">
                          <c:v>2568</c:v>
                        </c:pt>
                        <c:pt idx="34">
                          <c:v>2568</c:v>
                        </c:pt>
                        <c:pt idx="35">
                          <c:v>2568</c:v>
                        </c:pt>
                        <c:pt idx="36">
                          <c:v>2568</c:v>
                        </c:pt>
                        <c:pt idx="37">
                          <c:v>2568</c:v>
                        </c:pt>
                        <c:pt idx="38">
                          <c:v>2568</c:v>
                        </c:pt>
                        <c:pt idx="39">
                          <c:v>2568</c:v>
                        </c:pt>
                        <c:pt idx="40">
                          <c:v>2568</c:v>
                        </c:pt>
                        <c:pt idx="41">
                          <c:v>2568</c:v>
                        </c:pt>
                        <c:pt idx="42">
                          <c:v>2568</c:v>
                        </c:pt>
                        <c:pt idx="43">
                          <c:v>2568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Sheet1!$E$2:$E$239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20861.11</c:v>
                      </c:pt>
                      <c:pt idx="1">
                        <c:v>20853.849999999999</c:v>
                      </c:pt>
                      <c:pt idx="2">
                        <c:v>21169.23</c:v>
                      </c:pt>
                      <c:pt idx="3">
                        <c:v>20136.54</c:v>
                      </c:pt>
                      <c:pt idx="4">
                        <c:v>20170.37</c:v>
                      </c:pt>
                      <c:pt idx="5">
                        <c:v>20236.54</c:v>
                      </c:pt>
                      <c:pt idx="6">
                        <c:v>19054</c:v>
                      </c:pt>
                      <c:pt idx="7">
                        <c:v>19894.23</c:v>
                      </c:pt>
                      <c:pt idx="8">
                        <c:v>20076.919999999998</c:v>
                      </c:pt>
                      <c:pt idx="9">
                        <c:v>20508</c:v>
                      </c:pt>
                      <c:pt idx="10">
                        <c:v>22354</c:v>
                      </c:pt>
                      <c:pt idx="11">
                        <c:v>21703.85</c:v>
                      </c:pt>
                      <c:pt idx="12">
                        <c:v>24617.31</c:v>
                      </c:pt>
                      <c:pt idx="13">
                        <c:v>26094.23</c:v>
                      </c:pt>
                      <c:pt idx="14">
                        <c:v>29061.54</c:v>
                      </c:pt>
                      <c:pt idx="15">
                        <c:v>26966.67</c:v>
                      </c:pt>
                      <c:pt idx="16">
                        <c:v>25631.48</c:v>
                      </c:pt>
                      <c:pt idx="17">
                        <c:v>27809.62</c:v>
                      </c:pt>
                      <c:pt idx="18">
                        <c:v>28375</c:v>
                      </c:pt>
                      <c:pt idx="19">
                        <c:v>28994.44</c:v>
                      </c:pt>
                      <c:pt idx="20">
                        <c:v>31109.26</c:v>
                      </c:pt>
                      <c:pt idx="21">
                        <c:v>30921.15</c:v>
                      </c:pt>
                      <c:pt idx="22">
                        <c:v>30038.46</c:v>
                      </c:pt>
                      <c:pt idx="23">
                        <c:v>30100</c:v>
                      </c:pt>
                      <c:pt idx="24">
                        <c:v>31638.89</c:v>
                      </c:pt>
                      <c:pt idx="25">
                        <c:v>32636.54</c:v>
                      </c:pt>
                      <c:pt idx="26">
                        <c:v>33013.46</c:v>
                      </c:pt>
                      <c:pt idx="27">
                        <c:v>34230.769999999997</c:v>
                      </c:pt>
                      <c:pt idx="28">
                        <c:v>37296.15</c:v>
                      </c:pt>
                      <c:pt idx="29">
                        <c:v>40938</c:v>
                      </c:pt>
                      <c:pt idx="30">
                        <c:v>41034</c:v>
                      </c:pt>
                      <c:pt idx="31">
                        <c:v>43225</c:v>
                      </c:pt>
                      <c:pt idx="32">
                        <c:v>44316.67</c:v>
                      </c:pt>
                      <c:pt idx="33">
                        <c:v>46739.58</c:v>
                      </c:pt>
                      <c:pt idx="34">
                        <c:v>48501.919999999998</c:v>
                      </c:pt>
                      <c:pt idx="35">
                        <c:v>52342.31</c:v>
                      </c:pt>
                      <c:pt idx="36">
                        <c:v>52055.56</c:v>
                      </c:pt>
                      <c:pt idx="37">
                        <c:v>52540.38</c:v>
                      </c:pt>
                      <c:pt idx="38">
                        <c:v>52142.59</c:v>
                      </c:pt>
                      <c:pt idx="39">
                        <c:v>52438.46</c:v>
                      </c:pt>
                      <c:pt idx="40">
                        <c:v>56192.31</c:v>
                      </c:pt>
                      <c:pt idx="41">
                        <c:v>63425.93</c:v>
                      </c:pt>
                      <c:pt idx="42">
                        <c:v>63428</c:v>
                      </c:pt>
                      <c:pt idx="43">
                        <c:v>64437.5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E37-4660-A3EC-F7D939F78D2D}"/>
                  </c:ext>
                </c:extLst>
              </c15:ser>
            </c15:filteredLineSeries>
            <c15:filteredLineSeries>
              <c15:ser>
                <c:idx val="10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ทองแท่ง รับซื้อ (บาท)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prstDash val="solid"/>
                    </a:ln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Sheet1!$A$2:$B$239</c15:sqref>
                        </c15:formulaRef>
                      </c:ext>
                    </c:extLst>
                    <c:multiLvlStrCache>
                      <c:ptCount val="44"/>
                      <c:lvl>
                        <c:pt idx="0">
                          <c:v>มีนาคม</c:v>
                        </c:pt>
                        <c:pt idx="1">
                          <c:v>มิถุนายน</c:v>
                        </c:pt>
                        <c:pt idx="2">
                          <c:v>กันยายน</c:v>
                        </c:pt>
                        <c:pt idx="3">
                          <c:v>ธันวาคม</c:v>
                        </c:pt>
                        <c:pt idx="4">
                          <c:v>มีนาคม</c:v>
                        </c:pt>
                        <c:pt idx="5">
                          <c:v>มิถุนายน</c:v>
                        </c:pt>
                        <c:pt idx="6">
                          <c:v>กันยายน</c:v>
                        </c:pt>
                        <c:pt idx="7">
                          <c:v>ธันวาคม</c:v>
                        </c:pt>
                        <c:pt idx="8">
                          <c:v>มีนาคม</c:v>
                        </c:pt>
                        <c:pt idx="9">
                          <c:v>มิถุนายน</c:v>
                        </c:pt>
                        <c:pt idx="10">
                          <c:v>กันยายน</c:v>
                        </c:pt>
                        <c:pt idx="11">
                          <c:v>ธันวาคม</c:v>
                        </c:pt>
                        <c:pt idx="12">
                          <c:v>มีนาคม</c:v>
                        </c:pt>
                        <c:pt idx="13">
                          <c:v>มิถุนายน</c:v>
                        </c:pt>
                        <c:pt idx="14">
                          <c:v>กันยายน</c:v>
                        </c:pt>
                        <c:pt idx="15">
                          <c:v>ธันวาคม</c:v>
                        </c:pt>
                        <c:pt idx="16">
                          <c:v>มีนาคม</c:v>
                        </c:pt>
                        <c:pt idx="17">
                          <c:v>มิถุนายน</c:v>
                        </c:pt>
                        <c:pt idx="18">
                          <c:v>กันยายน</c:v>
                        </c:pt>
                        <c:pt idx="19">
                          <c:v>ธันวาคม</c:v>
                        </c:pt>
                        <c:pt idx="20">
                          <c:v>มีนาคม</c:v>
                        </c:pt>
                        <c:pt idx="21">
                          <c:v>มิถุนายน</c:v>
                        </c:pt>
                        <c:pt idx="22">
                          <c:v>กันยายน</c:v>
                        </c:pt>
                        <c:pt idx="23">
                          <c:v>ธันวาคม</c:v>
                        </c:pt>
                        <c:pt idx="24">
                          <c:v>มีนาคม</c:v>
                        </c:pt>
                        <c:pt idx="25">
                          <c:v>มิถุนายน</c:v>
                        </c:pt>
                        <c:pt idx="26">
                          <c:v>กันยายน</c:v>
                        </c:pt>
                        <c:pt idx="27">
                          <c:v>ธันวาคม</c:v>
                        </c:pt>
                        <c:pt idx="28">
                          <c:v>มีนาคม</c:v>
                        </c:pt>
                        <c:pt idx="29">
                          <c:v>มิถุนายน</c:v>
                        </c:pt>
                        <c:pt idx="30">
                          <c:v>กันยายน</c:v>
                        </c:pt>
                        <c:pt idx="31">
                          <c:v>ธันวาคม</c:v>
                        </c:pt>
                        <c:pt idx="32">
                          <c:v>มกราคม</c:v>
                        </c:pt>
                        <c:pt idx="33">
                          <c:v>กุมภาพันธ์</c:v>
                        </c:pt>
                        <c:pt idx="34">
                          <c:v>มีนาคม</c:v>
                        </c:pt>
                        <c:pt idx="35">
                          <c:v>เมษายน</c:v>
                        </c:pt>
                        <c:pt idx="36">
                          <c:v>พฤษภาคม</c:v>
                        </c:pt>
                        <c:pt idx="37">
                          <c:v>มิถุนายน</c:v>
                        </c:pt>
                        <c:pt idx="38">
                          <c:v>กรกฎาคม</c:v>
                        </c:pt>
                        <c:pt idx="39">
                          <c:v>สิงหาคม</c:v>
                        </c:pt>
                        <c:pt idx="40">
                          <c:v>กันยายน</c:v>
                        </c:pt>
                        <c:pt idx="41">
                          <c:v>ตุลาคม</c:v>
                        </c:pt>
                        <c:pt idx="42">
                          <c:v>พฤศจิกายน</c:v>
                        </c:pt>
                        <c:pt idx="43">
                          <c:v>ธันวาคม</c:v>
                        </c:pt>
                      </c:lvl>
                      <c:lvl>
                        <c:pt idx="0">
                          <c:v>2560</c:v>
                        </c:pt>
                        <c:pt idx="1">
                          <c:v>2560</c:v>
                        </c:pt>
                        <c:pt idx="2">
                          <c:v>2560</c:v>
                        </c:pt>
                        <c:pt idx="3">
                          <c:v>2560</c:v>
                        </c:pt>
                        <c:pt idx="4">
                          <c:v>2561</c:v>
                        </c:pt>
                        <c:pt idx="5">
                          <c:v>2561</c:v>
                        </c:pt>
                        <c:pt idx="6">
                          <c:v>2561</c:v>
                        </c:pt>
                        <c:pt idx="7">
                          <c:v>2561</c:v>
                        </c:pt>
                        <c:pt idx="8">
                          <c:v>2562</c:v>
                        </c:pt>
                        <c:pt idx="9">
                          <c:v>2562</c:v>
                        </c:pt>
                        <c:pt idx="10">
                          <c:v>2562</c:v>
                        </c:pt>
                        <c:pt idx="11">
                          <c:v>2562</c:v>
                        </c:pt>
                        <c:pt idx="12">
                          <c:v>2563</c:v>
                        </c:pt>
                        <c:pt idx="13">
                          <c:v>2563</c:v>
                        </c:pt>
                        <c:pt idx="14">
                          <c:v>2563</c:v>
                        </c:pt>
                        <c:pt idx="15">
                          <c:v>2563</c:v>
                        </c:pt>
                        <c:pt idx="16">
                          <c:v>2564</c:v>
                        </c:pt>
                        <c:pt idx="17">
                          <c:v>2564</c:v>
                        </c:pt>
                        <c:pt idx="18">
                          <c:v>2564</c:v>
                        </c:pt>
                        <c:pt idx="19">
                          <c:v>2564</c:v>
                        </c:pt>
                        <c:pt idx="20">
                          <c:v>2565</c:v>
                        </c:pt>
                        <c:pt idx="21">
                          <c:v>2565</c:v>
                        </c:pt>
                        <c:pt idx="22">
                          <c:v>2565</c:v>
                        </c:pt>
                        <c:pt idx="23">
                          <c:v>2565</c:v>
                        </c:pt>
                        <c:pt idx="24">
                          <c:v>2566</c:v>
                        </c:pt>
                        <c:pt idx="25">
                          <c:v>2566</c:v>
                        </c:pt>
                        <c:pt idx="26">
                          <c:v>2566</c:v>
                        </c:pt>
                        <c:pt idx="27">
                          <c:v>2566</c:v>
                        </c:pt>
                        <c:pt idx="28">
                          <c:v>2567</c:v>
                        </c:pt>
                        <c:pt idx="29">
                          <c:v>2567</c:v>
                        </c:pt>
                        <c:pt idx="30">
                          <c:v>2567</c:v>
                        </c:pt>
                        <c:pt idx="31">
                          <c:v>2567</c:v>
                        </c:pt>
                        <c:pt idx="32">
                          <c:v>2568</c:v>
                        </c:pt>
                        <c:pt idx="33">
                          <c:v>2568</c:v>
                        </c:pt>
                        <c:pt idx="34">
                          <c:v>2568</c:v>
                        </c:pt>
                        <c:pt idx="35">
                          <c:v>2568</c:v>
                        </c:pt>
                        <c:pt idx="36">
                          <c:v>2568</c:v>
                        </c:pt>
                        <c:pt idx="37">
                          <c:v>2568</c:v>
                        </c:pt>
                        <c:pt idx="38">
                          <c:v>2568</c:v>
                        </c:pt>
                        <c:pt idx="39">
                          <c:v>2568</c:v>
                        </c:pt>
                        <c:pt idx="40">
                          <c:v>2568</c:v>
                        </c:pt>
                        <c:pt idx="41">
                          <c:v>2568</c:v>
                        </c:pt>
                        <c:pt idx="42">
                          <c:v>2568</c:v>
                        </c:pt>
                        <c:pt idx="43">
                          <c:v>2568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Sheet1!$F$2:$F$239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20261.11</c:v>
                      </c:pt>
                      <c:pt idx="1">
                        <c:v>20253.849999999999</c:v>
                      </c:pt>
                      <c:pt idx="2">
                        <c:v>20569.23</c:v>
                      </c:pt>
                      <c:pt idx="3">
                        <c:v>19536.54</c:v>
                      </c:pt>
                      <c:pt idx="4">
                        <c:v>19570.37</c:v>
                      </c:pt>
                      <c:pt idx="5">
                        <c:v>19636.54</c:v>
                      </c:pt>
                      <c:pt idx="6">
                        <c:v>18454</c:v>
                      </c:pt>
                      <c:pt idx="7">
                        <c:v>19294.23</c:v>
                      </c:pt>
                      <c:pt idx="8">
                        <c:v>19476.919999999998</c:v>
                      </c:pt>
                      <c:pt idx="9">
                        <c:v>19908</c:v>
                      </c:pt>
                      <c:pt idx="10">
                        <c:v>21754</c:v>
                      </c:pt>
                      <c:pt idx="11">
                        <c:v>21103.85</c:v>
                      </c:pt>
                      <c:pt idx="12">
                        <c:v>23982.69</c:v>
                      </c:pt>
                      <c:pt idx="13">
                        <c:v>25494.23</c:v>
                      </c:pt>
                      <c:pt idx="14">
                        <c:v>28461.54</c:v>
                      </c:pt>
                      <c:pt idx="15">
                        <c:v>26366.67</c:v>
                      </c:pt>
                      <c:pt idx="16">
                        <c:v>25031.48</c:v>
                      </c:pt>
                      <c:pt idx="17">
                        <c:v>27209.62</c:v>
                      </c:pt>
                      <c:pt idx="18">
                        <c:v>27775</c:v>
                      </c:pt>
                      <c:pt idx="19">
                        <c:v>28394.44</c:v>
                      </c:pt>
                      <c:pt idx="20">
                        <c:v>30509.26</c:v>
                      </c:pt>
                      <c:pt idx="21">
                        <c:v>30321.15</c:v>
                      </c:pt>
                      <c:pt idx="22">
                        <c:v>29438.46</c:v>
                      </c:pt>
                      <c:pt idx="23">
                        <c:v>29500</c:v>
                      </c:pt>
                      <c:pt idx="24">
                        <c:v>31038.89</c:v>
                      </c:pt>
                      <c:pt idx="25">
                        <c:v>32036.54</c:v>
                      </c:pt>
                      <c:pt idx="26">
                        <c:v>32413.46</c:v>
                      </c:pt>
                      <c:pt idx="27">
                        <c:v>33630.769999999997</c:v>
                      </c:pt>
                      <c:pt idx="28">
                        <c:v>36696.15</c:v>
                      </c:pt>
                      <c:pt idx="29">
                        <c:v>40338</c:v>
                      </c:pt>
                      <c:pt idx="30">
                        <c:v>40434</c:v>
                      </c:pt>
                      <c:pt idx="31">
                        <c:v>42625</c:v>
                      </c:pt>
                      <c:pt idx="32">
                        <c:v>43716.67</c:v>
                      </c:pt>
                      <c:pt idx="33">
                        <c:v>46139.58</c:v>
                      </c:pt>
                      <c:pt idx="34">
                        <c:v>47601.919999999998</c:v>
                      </c:pt>
                      <c:pt idx="35">
                        <c:v>51442.31</c:v>
                      </c:pt>
                      <c:pt idx="36">
                        <c:v>51155.56</c:v>
                      </c:pt>
                      <c:pt idx="37">
                        <c:v>51640.38</c:v>
                      </c:pt>
                      <c:pt idx="38">
                        <c:v>51242.59</c:v>
                      </c:pt>
                      <c:pt idx="39">
                        <c:v>51538.46</c:v>
                      </c:pt>
                      <c:pt idx="40">
                        <c:v>55292.31</c:v>
                      </c:pt>
                      <c:pt idx="41">
                        <c:v>62525.93</c:v>
                      </c:pt>
                      <c:pt idx="42">
                        <c:v>62528</c:v>
                      </c:pt>
                      <c:pt idx="43">
                        <c:v>63537.5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E37-4660-A3EC-F7D939F78D2D}"/>
                  </c:ext>
                </c:extLst>
              </c15:ser>
            </c15:filteredLineSeries>
            <c15:filteredLineSeries>
              <c15:ser>
                <c:idx val="11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ทองแท่ง ขายออก (บาท)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prstDash val="solid"/>
                    </a:ln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Sheet1!$A$2:$B$239</c15:sqref>
                        </c15:formulaRef>
                      </c:ext>
                    </c:extLst>
                    <c:multiLvlStrCache>
                      <c:ptCount val="44"/>
                      <c:lvl>
                        <c:pt idx="0">
                          <c:v>มีนาคม</c:v>
                        </c:pt>
                        <c:pt idx="1">
                          <c:v>มิถุนายน</c:v>
                        </c:pt>
                        <c:pt idx="2">
                          <c:v>กันยายน</c:v>
                        </c:pt>
                        <c:pt idx="3">
                          <c:v>ธันวาคม</c:v>
                        </c:pt>
                        <c:pt idx="4">
                          <c:v>มีนาคม</c:v>
                        </c:pt>
                        <c:pt idx="5">
                          <c:v>มิถุนายน</c:v>
                        </c:pt>
                        <c:pt idx="6">
                          <c:v>กันยายน</c:v>
                        </c:pt>
                        <c:pt idx="7">
                          <c:v>ธันวาคม</c:v>
                        </c:pt>
                        <c:pt idx="8">
                          <c:v>มีนาคม</c:v>
                        </c:pt>
                        <c:pt idx="9">
                          <c:v>มิถุนายน</c:v>
                        </c:pt>
                        <c:pt idx="10">
                          <c:v>กันยายน</c:v>
                        </c:pt>
                        <c:pt idx="11">
                          <c:v>ธันวาคม</c:v>
                        </c:pt>
                        <c:pt idx="12">
                          <c:v>มีนาคม</c:v>
                        </c:pt>
                        <c:pt idx="13">
                          <c:v>มิถุนายน</c:v>
                        </c:pt>
                        <c:pt idx="14">
                          <c:v>กันยายน</c:v>
                        </c:pt>
                        <c:pt idx="15">
                          <c:v>ธันวาคม</c:v>
                        </c:pt>
                        <c:pt idx="16">
                          <c:v>มีนาคม</c:v>
                        </c:pt>
                        <c:pt idx="17">
                          <c:v>มิถุนายน</c:v>
                        </c:pt>
                        <c:pt idx="18">
                          <c:v>กันยายน</c:v>
                        </c:pt>
                        <c:pt idx="19">
                          <c:v>ธันวาคม</c:v>
                        </c:pt>
                        <c:pt idx="20">
                          <c:v>มีนาคม</c:v>
                        </c:pt>
                        <c:pt idx="21">
                          <c:v>มิถุนายน</c:v>
                        </c:pt>
                        <c:pt idx="22">
                          <c:v>กันยายน</c:v>
                        </c:pt>
                        <c:pt idx="23">
                          <c:v>ธันวาคม</c:v>
                        </c:pt>
                        <c:pt idx="24">
                          <c:v>มีนาคม</c:v>
                        </c:pt>
                        <c:pt idx="25">
                          <c:v>มิถุนายน</c:v>
                        </c:pt>
                        <c:pt idx="26">
                          <c:v>กันยายน</c:v>
                        </c:pt>
                        <c:pt idx="27">
                          <c:v>ธันวาคม</c:v>
                        </c:pt>
                        <c:pt idx="28">
                          <c:v>มีนาคม</c:v>
                        </c:pt>
                        <c:pt idx="29">
                          <c:v>มิถุนายน</c:v>
                        </c:pt>
                        <c:pt idx="30">
                          <c:v>กันยายน</c:v>
                        </c:pt>
                        <c:pt idx="31">
                          <c:v>ธันวาคม</c:v>
                        </c:pt>
                        <c:pt idx="32">
                          <c:v>มกราคม</c:v>
                        </c:pt>
                        <c:pt idx="33">
                          <c:v>กุมภาพันธ์</c:v>
                        </c:pt>
                        <c:pt idx="34">
                          <c:v>มีนาคม</c:v>
                        </c:pt>
                        <c:pt idx="35">
                          <c:v>เมษายน</c:v>
                        </c:pt>
                        <c:pt idx="36">
                          <c:v>พฤษภาคม</c:v>
                        </c:pt>
                        <c:pt idx="37">
                          <c:v>มิถุนายน</c:v>
                        </c:pt>
                        <c:pt idx="38">
                          <c:v>กรกฎาคม</c:v>
                        </c:pt>
                        <c:pt idx="39">
                          <c:v>สิงหาคม</c:v>
                        </c:pt>
                        <c:pt idx="40">
                          <c:v>กันยายน</c:v>
                        </c:pt>
                        <c:pt idx="41">
                          <c:v>ตุลาคม</c:v>
                        </c:pt>
                        <c:pt idx="42">
                          <c:v>พฤศจิกายน</c:v>
                        </c:pt>
                        <c:pt idx="43">
                          <c:v>ธันวาคม</c:v>
                        </c:pt>
                      </c:lvl>
                      <c:lvl>
                        <c:pt idx="0">
                          <c:v>2560</c:v>
                        </c:pt>
                        <c:pt idx="1">
                          <c:v>2560</c:v>
                        </c:pt>
                        <c:pt idx="2">
                          <c:v>2560</c:v>
                        </c:pt>
                        <c:pt idx="3">
                          <c:v>2560</c:v>
                        </c:pt>
                        <c:pt idx="4">
                          <c:v>2561</c:v>
                        </c:pt>
                        <c:pt idx="5">
                          <c:v>2561</c:v>
                        </c:pt>
                        <c:pt idx="6">
                          <c:v>2561</c:v>
                        </c:pt>
                        <c:pt idx="7">
                          <c:v>2561</c:v>
                        </c:pt>
                        <c:pt idx="8">
                          <c:v>2562</c:v>
                        </c:pt>
                        <c:pt idx="9">
                          <c:v>2562</c:v>
                        </c:pt>
                        <c:pt idx="10">
                          <c:v>2562</c:v>
                        </c:pt>
                        <c:pt idx="11">
                          <c:v>2562</c:v>
                        </c:pt>
                        <c:pt idx="12">
                          <c:v>2563</c:v>
                        </c:pt>
                        <c:pt idx="13">
                          <c:v>2563</c:v>
                        </c:pt>
                        <c:pt idx="14">
                          <c:v>2563</c:v>
                        </c:pt>
                        <c:pt idx="15">
                          <c:v>2563</c:v>
                        </c:pt>
                        <c:pt idx="16">
                          <c:v>2564</c:v>
                        </c:pt>
                        <c:pt idx="17">
                          <c:v>2564</c:v>
                        </c:pt>
                        <c:pt idx="18">
                          <c:v>2564</c:v>
                        </c:pt>
                        <c:pt idx="19">
                          <c:v>2564</c:v>
                        </c:pt>
                        <c:pt idx="20">
                          <c:v>2565</c:v>
                        </c:pt>
                        <c:pt idx="21">
                          <c:v>2565</c:v>
                        </c:pt>
                        <c:pt idx="22">
                          <c:v>2565</c:v>
                        </c:pt>
                        <c:pt idx="23">
                          <c:v>2565</c:v>
                        </c:pt>
                        <c:pt idx="24">
                          <c:v>2566</c:v>
                        </c:pt>
                        <c:pt idx="25">
                          <c:v>2566</c:v>
                        </c:pt>
                        <c:pt idx="26">
                          <c:v>2566</c:v>
                        </c:pt>
                        <c:pt idx="27">
                          <c:v>2566</c:v>
                        </c:pt>
                        <c:pt idx="28">
                          <c:v>2567</c:v>
                        </c:pt>
                        <c:pt idx="29">
                          <c:v>2567</c:v>
                        </c:pt>
                        <c:pt idx="30">
                          <c:v>2567</c:v>
                        </c:pt>
                        <c:pt idx="31">
                          <c:v>2567</c:v>
                        </c:pt>
                        <c:pt idx="32">
                          <c:v>2568</c:v>
                        </c:pt>
                        <c:pt idx="33">
                          <c:v>2568</c:v>
                        </c:pt>
                        <c:pt idx="34">
                          <c:v>2568</c:v>
                        </c:pt>
                        <c:pt idx="35">
                          <c:v>2568</c:v>
                        </c:pt>
                        <c:pt idx="36">
                          <c:v>2568</c:v>
                        </c:pt>
                        <c:pt idx="37">
                          <c:v>2568</c:v>
                        </c:pt>
                        <c:pt idx="38">
                          <c:v>2568</c:v>
                        </c:pt>
                        <c:pt idx="39">
                          <c:v>2568</c:v>
                        </c:pt>
                        <c:pt idx="40">
                          <c:v>2568</c:v>
                        </c:pt>
                        <c:pt idx="41">
                          <c:v>2568</c:v>
                        </c:pt>
                        <c:pt idx="42">
                          <c:v>2568</c:v>
                        </c:pt>
                        <c:pt idx="43">
                          <c:v>2568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Sheet1!$G$2:$G$239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20361.11</c:v>
                      </c:pt>
                      <c:pt idx="1">
                        <c:v>20353.849999999999</c:v>
                      </c:pt>
                      <c:pt idx="2">
                        <c:v>20669.23</c:v>
                      </c:pt>
                      <c:pt idx="3">
                        <c:v>19636.54</c:v>
                      </c:pt>
                      <c:pt idx="4">
                        <c:v>19670.37</c:v>
                      </c:pt>
                      <c:pt idx="5">
                        <c:v>19736.54</c:v>
                      </c:pt>
                      <c:pt idx="6">
                        <c:v>18554</c:v>
                      </c:pt>
                      <c:pt idx="7">
                        <c:v>19394.23</c:v>
                      </c:pt>
                      <c:pt idx="8">
                        <c:v>19576.919999999998</c:v>
                      </c:pt>
                      <c:pt idx="9">
                        <c:v>20008</c:v>
                      </c:pt>
                      <c:pt idx="10">
                        <c:v>21854</c:v>
                      </c:pt>
                      <c:pt idx="11">
                        <c:v>21203.85</c:v>
                      </c:pt>
                      <c:pt idx="12">
                        <c:v>24117.31</c:v>
                      </c:pt>
                      <c:pt idx="13">
                        <c:v>25594.23</c:v>
                      </c:pt>
                      <c:pt idx="14">
                        <c:v>28561.54</c:v>
                      </c:pt>
                      <c:pt idx="15">
                        <c:v>26466.67</c:v>
                      </c:pt>
                      <c:pt idx="16">
                        <c:v>25131.48</c:v>
                      </c:pt>
                      <c:pt idx="17">
                        <c:v>27309.62</c:v>
                      </c:pt>
                      <c:pt idx="18">
                        <c:v>27875</c:v>
                      </c:pt>
                      <c:pt idx="19">
                        <c:v>28494.44</c:v>
                      </c:pt>
                      <c:pt idx="20">
                        <c:v>30609.26</c:v>
                      </c:pt>
                      <c:pt idx="21">
                        <c:v>30421.15</c:v>
                      </c:pt>
                      <c:pt idx="22">
                        <c:v>29538.46</c:v>
                      </c:pt>
                      <c:pt idx="23">
                        <c:v>29600</c:v>
                      </c:pt>
                      <c:pt idx="24">
                        <c:v>31138.89</c:v>
                      </c:pt>
                      <c:pt idx="25">
                        <c:v>32136.54</c:v>
                      </c:pt>
                      <c:pt idx="26">
                        <c:v>32513.46</c:v>
                      </c:pt>
                      <c:pt idx="27">
                        <c:v>33730.769999999997</c:v>
                      </c:pt>
                      <c:pt idx="28">
                        <c:v>36796.15</c:v>
                      </c:pt>
                      <c:pt idx="29">
                        <c:v>40438</c:v>
                      </c:pt>
                      <c:pt idx="30">
                        <c:v>40534</c:v>
                      </c:pt>
                      <c:pt idx="31">
                        <c:v>42725</c:v>
                      </c:pt>
                      <c:pt idx="32">
                        <c:v>43816.67</c:v>
                      </c:pt>
                      <c:pt idx="33">
                        <c:v>46239.58</c:v>
                      </c:pt>
                      <c:pt idx="34">
                        <c:v>47701.919999999998</c:v>
                      </c:pt>
                      <c:pt idx="35">
                        <c:v>51542.31</c:v>
                      </c:pt>
                      <c:pt idx="36">
                        <c:v>51255.56</c:v>
                      </c:pt>
                      <c:pt idx="37">
                        <c:v>51740.38</c:v>
                      </c:pt>
                      <c:pt idx="38">
                        <c:v>51342.59</c:v>
                      </c:pt>
                      <c:pt idx="39">
                        <c:v>51638.46</c:v>
                      </c:pt>
                      <c:pt idx="40">
                        <c:v>55392.31</c:v>
                      </c:pt>
                      <c:pt idx="41">
                        <c:v>62625.93</c:v>
                      </c:pt>
                      <c:pt idx="42">
                        <c:v>62628</c:v>
                      </c:pt>
                      <c:pt idx="43">
                        <c:v>63637.5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E37-4660-A3EC-F7D939F78D2D}"/>
                  </c:ext>
                </c:extLst>
              </c15:ser>
            </c15:filteredLineSeries>
            <c15:filteredLineSeries>
              <c15:ser>
                <c:idx val="12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US$ ต่อออนซ์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olid"/>
                    </a:ln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Sheet1!$A$2:$B$239</c15:sqref>
                        </c15:formulaRef>
                      </c:ext>
                    </c:extLst>
                    <c:multiLvlStrCache>
                      <c:ptCount val="44"/>
                      <c:lvl>
                        <c:pt idx="0">
                          <c:v>มีนาคม</c:v>
                        </c:pt>
                        <c:pt idx="1">
                          <c:v>มิถุนายน</c:v>
                        </c:pt>
                        <c:pt idx="2">
                          <c:v>กันยายน</c:v>
                        </c:pt>
                        <c:pt idx="3">
                          <c:v>ธันวาคม</c:v>
                        </c:pt>
                        <c:pt idx="4">
                          <c:v>มีนาคม</c:v>
                        </c:pt>
                        <c:pt idx="5">
                          <c:v>มิถุนายน</c:v>
                        </c:pt>
                        <c:pt idx="6">
                          <c:v>กันยายน</c:v>
                        </c:pt>
                        <c:pt idx="7">
                          <c:v>ธันวาคม</c:v>
                        </c:pt>
                        <c:pt idx="8">
                          <c:v>มีนาคม</c:v>
                        </c:pt>
                        <c:pt idx="9">
                          <c:v>มิถุนายน</c:v>
                        </c:pt>
                        <c:pt idx="10">
                          <c:v>กันยายน</c:v>
                        </c:pt>
                        <c:pt idx="11">
                          <c:v>ธันวาคม</c:v>
                        </c:pt>
                        <c:pt idx="12">
                          <c:v>มีนาคม</c:v>
                        </c:pt>
                        <c:pt idx="13">
                          <c:v>มิถุนายน</c:v>
                        </c:pt>
                        <c:pt idx="14">
                          <c:v>กันยายน</c:v>
                        </c:pt>
                        <c:pt idx="15">
                          <c:v>ธันวาคม</c:v>
                        </c:pt>
                        <c:pt idx="16">
                          <c:v>มีนาคม</c:v>
                        </c:pt>
                        <c:pt idx="17">
                          <c:v>มิถุนายน</c:v>
                        </c:pt>
                        <c:pt idx="18">
                          <c:v>กันยายน</c:v>
                        </c:pt>
                        <c:pt idx="19">
                          <c:v>ธันวาคม</c:v>
                        </c:pt>
                        <c:pt idx="20">
                          <c:v>มีนาคม</c:v>
                        </c:pt>
                        <c:pt idx="21">
                          <c:v>มิถุนายน</c:v>
                        </c:pt>
                        <c:pt idx="22">
                          <c:v>กันยายน</c:v>
                        </c:pt>
                        <c:pt idx="23">
                          <c:v>ธันวาคม</c:v>
                        </c:pt>
                        <c:pt idx="24">
                          <c:v>มีนาคม</c:v>
                        </c:pt>
                        <c:pt idx="25">
                          <c:v>มิถุนายน</c:v>
                        </c:pt>
                        <c:pt idx="26">
                          <c:v>กันยายน</c:v>
                        </c:pt>
                        <c:pt idx="27">
                          <c:v>ธันวาคม</c:v>
                        </c:pt>
                        <c:pt idx="28">
                          <c:v>มีนาคม</c:v>
                        </c:pt>
                        <c:pt idx="29">
                          <c:v>มิถุนายน</c:v>
                        </c:pt>
                        <c:pt idx="30">
                          <c:v>กันยายน</c:v>
                        </c:pt>
                        <c:pt idx="31">
                          <c:v>ธันวาคม</c:v>
                        </c:pt>
                        <c:pt idx="32">
                          <c:v>มกราคม</c:v>
                        </c:pt>
                        <c:pt idx="33">
                          <c:v>กุมภาพันธ์</c:v>
                        </c:pt>
                        <c:pt idx="34">
                          <c:v>มีนาคม</c:v>
                        </c:pt>
                        <c:pt idx="35">
                          <c:v>เมษายน</c:v>
                        </c:pt>
                        <c:pt idx="36">
                          <c:v>พฤษภาคม</c:v>
                        </c:pt>
                        <c:pt idx="37">
                          <c:v>มิถุนายน</c:v>
                        </c:pt>
                        <c:pt idx="38">
                          <c:v>กรกฎาคม</c:v>
                        </c:pt>
                        <c:pt idx="39">
                          <c:v>สิงหาคม</c:v>
                        </c:pt>
                        <c:pt idx="40">
                          <c:v>กันยายน</c:v>
                        </c:pt>
                        <c:pt idx="41">
                          <c:v>ตุลาคม</c:v>
                        </c:pt>
                        <c:pt idx="42">
                          <c:v>พฤศจิกายน</c:v>
                        </c:pt>
                        <c:pt idx="43">
                          <c:v>ธันวาคม</c:v>
                        </c:pt>
                      </c:lvl>
                      <c:lvl>
                        <c:pt idx="0">
                          <c:v>2560</c:v>
                        </c:pt>
                        <c:pt idx="1">
                          <c:v>2560</c:v>
                        </c:pt>
                        <c:pt idx="2">
                          <c:v>2560</c:v>
                        </c:pt>
                        <c:pt idx="3">
                          <c:v>2560</c:v>
                        </c:pt>
                        <c:pt idx="4">
                          <c:v>2561</c:v>
                        </c:pt>
                        <c:pt idx="5">
                          <c:v>2561</c:v>
                        </c:pt>
                        <c:pt idx="6">
                          <c:v>2561</c:v>
                        </c:pt>
                        <c:pt idx="7">
                          <c:v>2561</c:v>
                        </c:pt>
                        <c:pt idx="8">
                          <c:v>2562</c:v>
                        </c:pt>
                        <c:pt idx="9">
                          <c:v>2562</c:v>
                        </c:pt>
                        <c:pt idx="10">
                          <c:v>2562</c:v>
                        </c:pt>
                        <c:pt idx="11">
                          <c:v>2562</c:v>
                        </c:pt>
                        <c:pt idx="12">
                          <c:v>2563</c:v>
                        </c:pt>
                        <c:pt idx="13">
                          <c:v>2563</c:v>
                        </c:pt>
                        <c:pt idx="14">
                          <c:v>2563</c:v>
                        </c:pt>
                        <c:pt idx="15">
                          <c:v>2563</c:v>
                        </c:pt>
                        <c:pt idx="16">
                          <c:v>2564</c:v>
                        </c:pt>
                        <c:pt idx="17">
                          <c:v>2564</c:v>
                        </c:pt>
                        <c:pt idx="18">
                          <c:v>2564</c:v>
                        </c:pt>
                        <c:pt idx="19">
                          <c:v>2564</c:v>
                        </c:pt>
                        <c:pt idx="20">
                          <c:v>2565</c:v>
                        </c:pt>
                        <c:pt idx="21">
                          <c:v>2565</c:v>
                        </c:pt>
                        <c:pt idx="22">
                          <c:v>2565</c:v>
                        </c:pt>
                        <c:pt idx="23">
                          <c:v>2565</c:v>
                        </c:pt>
                        <c:pt idx="24">
                          <c:v>2566</c:v>
                        </c:pt>
                        <c:pt idx="25">
                          <c:v>2566</c:v>
                        </c:pt>
                        <c:pt idx="26">
                          <c:v>2566</c:v>
                        </c:pt>
                        <c:pt idx="27">
                          <c:v>2566</c:v>
                        </c:pt>
                        <c:pt idx="28">
                          <c:v>2567</c:v>
                        </c:pt>
                        <c:pt idx="29">
                          <c:v>2567</c:v>
                        </c:pt>
                        <c:pt idx="30">
                          <c:v>2567</c:v>
                        </c:pt>
                        <c:pt idx="31">
                          <c:v>2567</c:v>
                        </c:pt>
                        <c:pt idx="32">
                          <c:v>2568</c:v>
                        </c:pt>
                        <c:pt idx="33">
                          <c:v>2568</c:v>
                        </c:pt>
                        <c:pt idx="34">
                          <c:v>2568</c:v>
                        </c:pt>
                        <c:pt idx="35">
                          <c:v>2568</c:v>
                        </c:pt>
                        <c:pt idx="36">
                          <c:v>2568</c:v>
                        </c:pt>
                        <c:pt idx="37">
                          <c:v>2568</c:v>
                        </c:pt>
                        <c:pt idx="38">
                          <c:v>2568</c:v>
                        </c:pt>
                        <c:pt idx="39">
                          <c:v>2568</c:v>
                        </c:pt>
                        <c:pt idx="40">
                          <c:v>2568</c:v>
                        </c:pt>
                        <c:pt idx="41">
                          <c:v>2568</c:v>
                        </c:pt>
                        <c:pt idx="42">
                          <c:v>2568</c:v>
                        </c:pt>
                        <c:pt idx="43">
                          <c:v>2568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Sheet1!$H$2:$H$239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0">
                        <c:v>1231.5</c:v>
                      </c:pt>
                      <c:pt idx="1">
                        <c:v>1262.3</c:v>
                      </c:pt>
                      <c:pt idx="2">
                        <c:v>1316.97</c:v>
                      </c:pt>
                      <c:pt idx="3">
                        <c:v>1266.55</c:v>
                      </c:pt>
                      <c:pt idx="4">
                        <c:v>1326.45</c:v>
                      </c:pt>
                      <c:pt idx="5">
                        <c:v>1282.74</c:v>
                      </c:pt>
                      <c:pt idx="6">
                        <c:v>1198.73</c:v>
                      </c:pt>
                      <c:pt idx="7">
                        <c:v>1251.81</c:v>
                      </c:pt>
                      <c:pt idx="8">
                        <c:v>1302.3599999999999</c:v>
                      </c:pt>
                      <c:pt idx="9">
                        <c:v>1358.83</c:v>
                      </c:pt>
                      <c:pt idx="10">
                        <c:v>1510.31</c:v>
                      </c:pt>
                      <c:pt idx="11">
                        <c:v>1481.89</c:v>
                      </c:pt>
                      <c:pt idx="12">
                        <c:v>1589.81</c:v>
                      </c:pt>
                      <c:pt idx="13">
                        <c:v>1734.46</c:v>
                      </c:pt>
                      <c:pt idx="14">
                        <c:v>1924.25</c:v>
                      </c:pt>
                      <c:pt idx="15">
                        <c:v>1857.91</c:v>
                      </c:pt>
                      <c:pt idx="16">
                        <c:v>1723.04</c:v>
                      </c:pt>
                      <c:pt idx="17">
                        <c:v>1835.67</c:v>
                      </c:pt>
                      <c:pt idx="18">
                        <c:v>1781.67</c:v>
                      </c:pt>
                      <c:pt idx="19">
                        <c:v>1792.17</c:v>
                      </c:pt>
                      <c:pt idx="20">
                        <c:v>1948.33</c:v>
                      </c:pt>
                      <c:pt idx="21">
                        <c:v>1839.42</c:v>
                      </c:pt>
                      <c:pt idx="22">
                        <c:v>1684.94</c:v>
                      </c:pt>
                      <c:pt idx="23">
                        <c:v>1797.2</c:v>
                      </c:pt>
                      <c:pt idx="24">
                        <c:v>1910.22</c:v>
                      </c:pt>
                      <c:pt idx="25">
                        <c:v>1943.96</c:v>
                      </c:pt>
                      <c:pt idx="26">
                        <c:v>1917.98</c:v>
                      </c:pt>
                      <c:pt idx="27">
                        <c:v>2038.08</c:v>
                      </c:pt>
                      <c:pt idx="28">
                        <c:v>2160.85</c:v>
                      </c:pt>
                      <c:pt idx="29">
                        <c:v>2325.08</c:v>
                      </c:pt>
                      <c:pt idx="30">
                        <c:v>2572.54</c:v>
                      </c:pt>
                      <c:pt idx="31">
                        <c:v>2640.67</c:v>
                      </c:pt>
                      <c:pt idx="32">
                        <c:v>2702.91</c:v>
                      </c:pt>
                      <c:pt idx="33">
                        <c:v>2892.25</c:v>
                      </c:pt>
                      <c:pt idx="34">
                        <c:v>2980.33</c:v>
                      </c:pt>
                      <c:pt idx="35">
                        <c:v>3227.62</c:v>
                      </c:pt>
                      <c:pt idx="36">
                        <c:v>3284.81</c:v>
                      </c:pt>
                      <c:pt idx="37">
                        <c:v>3350.88</c:v>
                      </c:pt>
                      <c:pt idx="38">
                        <c:v>3344.2</c:v>
                      </c:pt>
                      <c:pt idx="39">
                        <c:v>3363.65</c:v>
                      </c:pt>
                      <c:pt idx="40">
                        <c:v>3659.81</c:v>
                      </c:pt>
                      <c:pt idx="41">
                        <c:v>4059.78</c:v>
                      </c:pt>
                      <c:pt idx="42">
                        <c:v>4085.92</c:v>
                      </c:pt>
                      <c:pt idx="43">
                        <c:v>4210.5600000000004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E37-4660-A3EC-F7D939F78D2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3"/>
          <c:order val="6"/>
          <c:tx>
            <c:strRef>
              <c:f>Sheet1!$I$1</c:f>
              <c:strCache>
                <c:ptCount val="1"/>
                <c:pt idx="0">
                  <c:v>Baht / US$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multiLvlStrRef>
              <c:f>Sheet1!$A$2:$B$239</c:f>
              <c:multiLvlStrCache>
                <c:ptCount val="44"/>
                <c:lvl>
                  <c:pt idx="0">
                    <c:v>มีนาคม</c:v>
                  </c:pt>
                  <c:pt idx="1">
                    <c:v>มิถุนายน</c:v>
                  </c:pt>
                  <c:pt idx="2">
                    <c:v>กันยายน</c:v>
                  </c:pt>
                  <c:pt idx="3">
                    <c:v>ธันวาคม</c:v>
                  </c:pt>
                  <c:pt idx="4">
                    <c:v>มีนาคม</c:v>
                  </c:pt>
                  <c:pt idx="5">
                    <c:v>มิถุนายน</c:v>
                  </c:pt>
                  <c:pt idx="6">
                    <c:v>กันยายน</c:v>
                  </c:pt>
                  <c:pt idx="7">
                    <c:v>ธันวาคม</c:v>
                  </c:pt>
                  <c:pt idx="8">
                    <c:v>มีนาคม</c:v>
                  </c:pt>
                  <c:pt idx="9">
                    <c:v>มิถุนายน</c:v>
                  </c:pt>
                  <c:pt idx="10">
                    <c:v>กันยายน</c:v>
                  </c:pt>
                  <c:pt idx="11">
                    <c:v>ธันวาคม</c:v>
                  </c:pt>
                  <c:pt idx="12">
                    <c:v>มีนาคม</c:v>
                  </c:pt>
                  <c:pt idx="13">
                    <c:v>มิถุนายน</c:v>
                  </c:pt>
                  <c:pt idx="14">
                    <c:v>กันยายน</c:v>
                  </c:pt>
                  <c:pt idx="15">
                    <c:v>ธันวาคม</c:v>
                  </c:pt>
                  <c:pt idx="16">
                    <c:v>มีนาคม</c:v>
                  </c:pt>
                  <c:pt idx="17">
                    <c:v>มิถุนายน</c:v>
                  </c:pt>
                  <c:pt idx="18">
                    <c:v>กันยายน</c:v>
                  </c:pt>
                  <c:pt idx="19">
                    <c:v>ธันวาคม</c:v>
                  </c:pt>
                  <c:pt idx="20">
                    <c:v>มีนาคม</c:v>
                  </c:pt>
                  <c:pt idx="21">
                    <c:v>มิถุนายน</c:v>
                  </c:pt>
                  <c:pt idx="22">
                    <c:v>กันยายน</c:v>
                  </c:pt>
                  <c:pt idx="23">
                    <c:v>ธันวาคม</c:v>
                  </c:pt>
                  <c:pt idx="24">
                    <c:v>มีนาคม</c:v>
                  </c:pt>
                  <c:pt idx="25">
                    <c:v>มิถุนายน</c:v>
                  </c:pt>
                  <c:pt idx="26">
                    <c:v>กันยายน</c:v>
                  </c:pt>
                  <c:pt idx="27">
                    <c:v>ธันวาคม</c:v>
                  </c:pt>
                  <c:pt idx="28">
                    <c:v>มีนาคม</c:v>
                  </c:pt>
                  <c:pt idx="29">
                    <c:v>มิถุนายน</c:v>
                  </c:pt>
                  <c:pt idx="30">
                    <c:v>กันยายน</c:v>
                  </c:pt>
                  <c:pt idx="31">
                    <c:v>ธันวาคม</c:v>
                  </c:pt>
                  <c:pt idx="32">
                    <c:v>มกราคม</c:v>
                  </c:pt>
                  <c:pt idx="33">
                    <c:v>กุมภาพันธ์</c:v>
                  </c:pt>
                  <c:pt idx="34">
                    <c:v>มีนาคม</c:v>
                  </c:pt>
                  <c:pt idx="35">
                    <c:v>เมษายน</c:v>
                  </c:pt>
                  <c:pt idx="36">
                    <c:v>พฤษภาคม</c:v>
                  </c:pt>
                  <c:pt idx="37">
                    <c:v>มิถุนายน</c:v>
                  </c:pt>
                  <c:pt idx="38">
                    <c:v>กรกฎาคม</c:v>
                  </c:pt>
                  <c:pt idx="39">
                    <c:v>สิงหาคม</c:v>
                  </c:pt>
                  <c:pt idx="40">
                    <c:v>กันยายน</c:v>
                  </c:pt>
                  <c:pt idx="41">
                    <c:v>ตุลาคม</c:v>
                  </c:pt>
                  <c:pt idx="42">
                    <c:v>พฤศจิกายน</c:v>
                  </c:pt>
                  <c:pt idx="43">
                    <c:v>ธันวาคม</c:v>
                  </c:pt>
                </c:lvl>
                <c:lvl>
                  <c:pt idx="0">
                    <c:v>2560</c:v>
                  </c:pt>
                  <c:pt idx="1">
                    <c:v>2560</c:v>
                  </c:pt>
                  <c:pt idx="2">
                    <c:v>2560</c:v>
                  </c:pt>
                  <c:pt idx="3">
                    <c:v>2560</c:v>
                  </c:pt>
                  <c:pt idx="4">
                    <c:v>2561</c:v>
                  </c:pt>
                  <c:pt idx="5">
                    <c:v>2561</c:v>
                  </c:pt>
                  <c:pt idx="6">
                    <c:v>2561</c:v>
                  </c:pt>
                  <c:pt idx="7">
                    <c:v>2561</c:v>
                  </c:pt>
                  <c:pt idx="8">
                    <c:v>2562</c:v>
                  </c:pt>
                  <c:pt idx="9">
                    <c:v>2562</c:v>
                  </c:pt>
                  <c:pt idx="10">
                    <c:v>2562</c:v>
                  </c:pt>
                  <c:pt idx="11">
                    <c:v>2562</c:v>
                  </c:pt>
                  <c:pt idx="12">
                    <c:v>2563</c:v>
                  </c:pt>
                  <c:pt idx="13">
                    <c:v>2563</c:v>
                  </c:pt>
                  <c:pt idx="14">
                    <c:v>2563</c:v>
                  </c:pt>
                  <c:pt idx="15">
                    <c:v>2563</c:v>
                  </c:pt>
                  <c:pt idx="16">
                    <c:v>2564</c:v>
                  </c:pt>
                  <c:pt idx="17">
                    <c:v>2564</c:v>
                  </c:pt>
                  <c:pt idx="18">
                    <c:v>2564</c:v>
                  </c:pt>
                  <c:pt idx="19">
                    <c:v>2564</c:v>
                  </c:pt>
                  <c:pt idx="20">
                    <c:v>2565</c:v>
                  </c:pt>
                  <c:pt idx="21">
                    <c:v>2565</c:v>
                  </c:pt>
                  <c:pt idx="22">
                    <c:v>2565</c:v>
                  </c:pt>
                  <c:pt idx="23">
                    <c:v>2565</c:v>
                  </c:pt>
                  <c:pt idx="24">
                    <c:v>2566</c:v>
                  </c:pt>
                  <c:pt idx="25">
                    <c:v>2566</c:v>
                  </c:pt>
                  <c:pt idx="26">
                    <c:v>2566</c:v>
                  </c:pt>
                  <c:pt idx="27">
                    <c:v>2566</c:v>
                  </c:pt>
                  <c:pt idx="28">
                    <c:v>2567</c:v>
                  </c:pt>
                  <c:pt idx="29">
                    <c:v>2567</c:v>
                  </c:pt>
                  <c:pt idx="30">
                    <c:v>2567</c:v>
                  </c:pt>
                  <c:pt idx="31">
                    <c:v>2567</c:v>
                  </c:pt>
                  <c:pt idx="32">
                    <c:v>2568</c:v>
                  </c:pt>
                  <c:pt idx="33">
                    <c:v>2568</c:v>
                  </c:pt>
                  <c:pt idx="34">
                    <c:v>2568</c:v>
                  </c:pt>
                  <c:pt idx="35">
                    <c:v>2568</c:v>
                  </c:pt>
                  <c:pt idx="36">
                    <c:v>2568</c:v>
                  </c:pt>
                  <c:pt idx="37">
                    <c:v>2568</c:v>
                  </c:pt>
                  <c:pt idx="38">
                    <c:v>2568</c:v>
                  </c:pt>
                  <c:pt idx="39">
                    <c:v>2568</c:v>
                  </c:pt>
                  <c:pt idx="40">
                    <c:v>2568</c:v>
                  </c:pt>
                  <c:pt idx="41">
                    <c:v>2568</c:v>
                  </c:pt>
                  <c:pt idx="42">
                    <c:v>2568</c:v>
                  </c:pt>
                  <c:pt idx="43">
                    <c:v>2568</c:v>
                  </c:pt>
                </c:lvl>
              </c:multiLvlStrCache>
            </c:multiLvlStrRef>
          </c:cat>
          <c:val>
            <c:numRef>
              <c:f>Sheet1!$I$2:$I$239</c:f>
              <c:numCache>
                <c:formatCode>General</c:formatCode>
                <c:ptCount val="44"/>
                <c:pt idx="0">
                  <c:v>34.909999999999997</c:v>
                </c:pt>
                <c:pt idx="1">
                  <c:v>34.020000000000003</c:v>
                </c:pt>
                <c:pt idx="2">
                  <c:v>33.159999999999997</c:v>
                </c:pt>
                <c:pt idx="3">
                  <c:v>32.700000000000003</c:v>
                </c:pt>
                <c:pt idx="4">
                  <c:v>31.28</c:v>
                </c:pt>
                <c:pt idx="5">
                  <c:v>32.49</c:v>
                </c:pt>
                <c:pt idx="6">
                  <c:v>32.64</c:v>
                </c:pt>
                <c:pt idx="7">
                  <c:v>32.72</c:v>
                </c:pt>
                <c:pt idx="8">
                  <c:v>31.74</c:v>
                </c:pt>
                <c:pt idx="9">
                  <c:v>31.12</c:v>
                </c:pt>
                <c:pt idx="10">
                  <c:v>30.58</c:v>
                </c:pt>
                <c:pt idx="11">
                  <c:v>30.23</c:v>
                </c:pt>
                <c:pt idx="12">
                  <c:v>32.130000000000003</c:v>
                </c:pt>
                <c:pt idx="13">
                  <c:v>31.17</c:v>
                </c:pt>
                <c:pt idx="14">
                  <c:v>31.37</c:v>
                </c:pt>
                <c:pt idx="15">
                  <c:v>30.09</c:v>
                </c:pt>
                <c:pt idx="16">
                  <c:v>30.79</c:v>
                </c:pt>
                <c:pt idx="17">
                  <c:v>31.44</c:v>
                </c:pt>
                <c:pt idx="18">
                  <c:v>33.06</c:v>
                </c:pt>
                <c:pt idx="19">
                  <c:v>33.58</c:v>
                </c:pt>
                <c:pt idx="20">
                  <c:v>33.24</c:v>
                </c:pt>
                <c:pt idx="21">
                  <c:v>34.94</c:v>
                </c:pt>
                <c:pt idx="22">
                  <c:v>37.01</c:v>
                </c:pt>
                <c:pt idx="23">
                  <c:v>34.79</c:v>
                </c:pt>
                <c:pt idx="24">
                  <c:v>34.47</c:v>
                </c:pt>
                <c:pt idx="25">
                  <c:v>34.92</c:v>
                </c:pt>
                <c:pt idx="26">
                  <c:v>35.840000000000003</c:v>
                </c:pt>
                <c:pt idx="27">
                  <c:v>34.96</c:v>
                </c:pt>
                <c:pt idx="28">
                  <c:v>35.979999999999997</c:v>
                </c:pt>
                <c:pt idx="29">
                  <c:v>36.729999999999997</c:v>
                </c:pt>
                <c:pt idx="30">
                  <c:v>33.299999999999997</c:v>
                </c:pt>
                <c:pt idx="31">
                  <c:v>34.18</c:v>
                </c:pt>
                <c:pt idx="32">
                  <c:v>34.270000000000003</c:v>
                </c:pt>
                <c:pt idx="33">
                  <c:v>33.79</c:v>
                </c:pt>
                <c:pt idx="34">
                  <c:v>33.83</c:v>
                </c:pt>
                <c:pt idx="35">
                  <c:v>33.75</c:v>
                </c:pt>
                <c:pt idx="36">
                  <c:v>32.97</c:v>
                </c:pt>
                <c:pt idx="37">
                  <c:v>32.630000000000003</c:v>
                </c:pt>
                <c:pt idx="38">
                  <c:v>32.44</c:v>
                </c:pt>
                <c:pt idx="39">
                  <c:v>32.450000000000003</c:v>
                </c:pt>
                <c:pt idx="40">
                  <c:v>31.99</c:v>
                </c:pt>
                <c:pt idx="41">
                  <c:v>32.590000000000003</c:v>
                </c:pt>
                <c:pt idx="42">
                  <c:v>32.4</c:v>
                </c:pt>
                <c:pt idx="43">
                  <c:v>31.94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7-4660-A3EC-F7D939F78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064368"/>
        <c:axId val="2107063888"/>
      </c:lineChart>
      <c:catAx>
        <c:axId val="20090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40911"/>
        <c:crosses val="autoZero"/>
        <c:auto val="1"/>
        <c:lblAlgn val="ctr"/>
        <c:lblOffset val="100"/>
        <c:noMultiLvlLbl val="0"/>
      </c:catAx>
      <c:valAx>
        <c:axId val="200904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18831"/>
        <c:crosses val="autoZero"/>
        <c:crossBetween val="between"/>
      </c:valAx>
      <c:valAx>
        <c:axId val="210706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7064368"/>
        <c:crosses val="max"/>
        <c:crossBetween val="between"/>
      </c:valAx>
      <c:catAx>
        <c:axId val="2107064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7063888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29441</xdr:colOff>
      <xdr:row>239</xdr:row>
      <xdr:rowOff>133350</xdr:rowOff>
    </xdr:from>
    <xdr:to>
      <xdr:col>27</xdr:col>
      <xdr:colOff>564286</xdr:colOff>
      <xdr:row>260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34637</xdr:colOff>
      <xdr:row>198</xdr:row>
      <xdr:rowOff>0</xdr:rowOff>
    </xdr:from>
    <xdr:to>
      <xdr:col>27</xdr:col>
      <xdr:colOff>569482</xdr:colOff>
      <xdr:row>238</xdr:row>
      <xdr:rowOff>152978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188A9-47B0-4B15-BB65-0D29B442E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06" workbookViewId="0">
      <selection activeCell="A226" sqref="A226:I237"/>
    </sheetView>
  </sheetViews>
  <sheetFormatPr defaultRowHeight="14.5" x14ac:dyDescent="0.35"/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>
        <v>2549</v>
      </c>
      <c r="B2" t="s">
        <v>9</v>
      </c>
      <c r="C2">
        <v>11892.11</v>
      </c>
      <c r="D2">
        <v>673.89</v>
      </c>
      <c r="E2">
        <v>12566</v>
      </c>
      <c r="F2">
        <v>12066</v>
      </c>
      <c r="G2">
        <v>12166</v>
      </c>
      <c r="H2">
        <v>669.28</v>
      </c>
      <c r="I2">
        <v>38.07</v>
      </c>
    </row>
    <row r="3" spans="1:9" x14ac:dyDescent="0.35">
      <c r="A3">
        <v>2549</v>
      </c>
      <c r="B3" t="s">
        <v>10</v>
      </c>
      <c r="C3">
        <v>10688.43</v>
      </c>
      <c r="D3">
        <v>655.32000000000005</v>
      </c>
      <c r="E3">
        <v>11343.75</v>
      </c>
      <c r="F3">
        <v>10843.75</v>
      </c>
      <c r="G3">
        <v>10943.75</v>
      </c>
      <c r="H3">
        <v>598.63</v>
      </c>
      <c r="I3">
        <v>38.39</v>
      </c>
    </row>
    <row r="4" spans="1:9" x14ac:dyDescent="0.35">
      <c r="A4">
        <v>2549</v>
      </c>
      <c r="B4" t="s">
        <v>11</v>
      </c>
      <c r="C4">
        <v>11191.58</v>
      </c>
      <c r="D4">
        <v>664.19</v>
      </c>
      <c r="E4">
        <v>11855.77</v>
      </c>
      <c r="F4">
        <v>11355.77</v>
      </c>
      <c r="G4">
        <v>11455.77</v>
      </c>
      <c r="H4">
        <v>635.80999999999995</v>
      </c>
      <c r="I4">
        <v>38.020000000000003</v>
      </c>
    </row>
    <row r="5" spans="1:9" x14ac:dyDescent="0.35">
      <c r="A5">
        <v>2549</v>
      </c>
      <c r="B5" t="s">
        <v>12</v>
      </c>
      <c r="C5">
        <v>11037.65</v>
      </c>
      <c r="D5">
        <v>660.43</v>
      </c>
      <c r="E5">
        <v>11698.08</v>
      </c>
      <c r="F5">
        <v>11198.08</v>
      </c>
      <c r="G5">
        <v>11298.08</v>
      </c>
      <c r="H5">
        <v>631.38</v>
      </c>
      <c r="I5">
        <v>37.64</v>
      </c>
    </row>
    <row r="6" spans="1:9" x14ac:dyDescent="0.35">
      <c r="A6">
        <v>2549</v>
      </c>
      <c r="B6" t="s">
        <v>13</v>
      </c>
      <c r="C6">
        <v>10452.52</v>
      </c>
      <c r="D6">
        <v>653.48</v>
      </c>
      <c r="E6">
        <v>11106</v>
      </c>
      <c r="F6">
        <v>10606</v>
      </c>
      <c r="G6">
        <v>10706</v>
      </c>
      <c r="H6">
        <v>602.41</v>
      </c>
      <c r="I6">
        <v>37.450000000000003</v>
      </c>
    </row>
    <row r="7" spans="1:9" x14ac:dyDescent="0.35">
      <c r="A7">
        <v>2549</v>
      </c>
      <c r="B7" t="s">
        <v>14</v>
      </c>
      <c r="C7">
        <v>10177.82</v>
      </c>
      <c r="D7">
        <v>650.17999999999995</v>
      </c>
      <c r="E7">
        <v>10828</v>
      </c>
      <c r="F7">
        <v>10328</v>
      </c>
      <c r="G7">
        <v>10428</v>
      </c>
      <c r="H7">
        <v>587.35</v>
      </c>
      <c r="I7">
        <v>37.36</v>
      </c>
    </row>
    <row r="8" spans="1:9" x14ac:dyDescent="0.35">
      <c r="A8">
        <v>2549</v>
      </c>
      <c r="B8" t="s">
        <v>15</v>
      </c>
      <c r="C8">
        <v>10593.34</v>
      </c>
      <c r="D8">
        <v>654.74</v>
      </c>
      <c r="E8">
        <v>11248.08</v>
      </c>
      <c r="F8">
        <v>10748.08</v>
      </c>
      <c r="G8">
        <v>10848.08</v>
      </c>
      <c r="H8">
        <v>627.24</v>
      </c>
      <c r="I8">
        <v>36.58</v>
      </c>
    </row>
    <row r="9" spans="1:9" x14ac:dyDescent="0.35">
      <c r="A9">
        <v>2549</v>
      </c>
      <c r="B9" t="s">
        <v>16</v>
      </c>
      <c r="C9">
        <v>10446.450000000001</v>
      </c>
      <c r="D9">
        <v>653.54999999999995</v>
      </c>
      <c r="E9">
        <v>11100</v>
      </c>
      <c r="F9">
        <v>10600</v>
      </c>
      <c r="G9">
        <v>10700</v>
      </c>
      <c r="H9">
        <v>627.87</v>
      </c>
      <c r="I9">
        <v>35.86</v>
      </c>
    </row>
    <row r="10" spans="1:9" x14ac:dyDescent="0.35">
      <c r="A10">
        <v>2550</v>
      </c>
      <c r="B10" t="s">
        <v>17</v>
      </c>
      <c r="C10">
        <v>10481.620000000001</v>
      </c>
      <c r="D10">
        <v>654.38</v>
      </c>
      <c r="E10">
        <v>11136</v>
      </c>
      <c r="F10">
        <v>10636</v>
      </c>
      <c r="G10">
        <v>10736</v>
      </c>
      <c r="H10">
        <v>629.54999999999995</v>
      </c>
      <c r="I10">
        <v>35.99</v>
      </c>
    </row>
    <row r="11" spans="1:9" x14ac:dyDescent="0.35">
      <c r="A11">
        <v>2550</v>
      </c>
      <c r="B11" t="s">
        <v>18</v>
      </c>
      <c r="C11">
        <v>10945.52</v>
      </c>
      <c r="D11">
        <v>659.03</v>
      </c>
      <c r="E11">
        <v>11604.55</v>
      </c>
      <c r="F11">
        <v>11104.55</v>
      </c>
      <c r="G11">
        <v>11204.55</v>
      </c>
      <c r="H11">
        <v>664.88</v>
      </c>
      <c r="I11">
        <v>35.76</v>
      </c>
    </row>
    <row r="12" spans="1:9" x14ac:dyDescent="0.35">
      <c r="A12">
        <v>2550</v>
      </c>
      <c r="B12" t="s">
        <v>19</v>
      </c>
      <c r="C12">
        <v>10693.98</v>
      </c>
      <c r="D12">
        <v>657.88</v>
      </c>
      <c r="E12">
        <v>11351.85</v>
      </c>
      <c r="F12">
        <v>10851.85</v>
      </c>
      <c r="G12">
        <v>10951.85</v>
      </c>
      <c r="H12">
        <v>655.69</v>
      </c>
      <c r="I12">
        <v>35.14</v>
      </c>
    </row>
    <row r="13" spans="1:9" x14ac:dyDescent="0.35">
      <c r="A13">
        <v>2550</v>
      </c>
      <c r="B13" t="s">
        <v>20</v>
      </c>
      <c r="C13">
        <v>10961.34</v>
      </c>
      <c r="D13">
        <v>662.57</v>
      </c>
      <c r="E13">
        <v>11623.91</v>
      </c>
      <c r="F13">
        <v>11123.91</v>
      </c>
      <c r="G13">
        <v>11223.91</v>
      </c>
      <c r="H13">
        <v>678.82</v>
      </c>
      <c r="I13">
        <v>34.9</v>
      </c>
    </row>
    <row r="14" spans="1:9" x14ac:dyDescent="0.35">
      <c r="A14">
        <v>2550</v>
      </c>
      <c r="B14" t="s">
        <v>9</v>
      </c>
      <c r="C14">
        <v>10755.39</v>
      </c>
      <c r="D14">
        <v>657.11</v>
      </c>
      <c r="E14">
        <v>11412.5</v>
      </c>
      <c r="F14">
        <v>10912.5</v>
      </c>
      <c r="G14">
        <v>11012.5</v>
      </c>
      <c r="H14">
        <v>668.4</v>
      </c>
      <c r="I14">
        <v>34.65</v>
      </c>
    </row>
    <row r="15" spans="1:9" x14ac:dyDescent="0.35">
      <c r="A15">
        <v>2550</v>
      </c>
      <c r="B15" t="s">
        <v>10</v>
      </c>
      <c r="C15">
        <v>10544.95</v>
      </c>
      <c r="D15">
        <v>653.13</v>
      </c>
      <c r="E15">
        <v>11198.08</v>
      </c>
      <c r="F15">
        <v>10698.08</v>
      </c>
      <c r="G15">
        <v>10798.08</v>
      </c>
      <c r="H15">
        <v>656.5</v>
      </c>
      <c r="I15">
        <v>34.61</v>
      </c>
    </row>
    <row r="16" spans="1:9" x14ac:dyDescent="0.35">
      <c r="A16">
        <v>2550</v>
      </c>
      <c r="B16" t="s">
        <v>11</v>
      </c>
      <c r="C16">
        <v>10422.200000000001</v>
      </c>
      <c r="D16">
        <v>651.79999999999995</v>
      </c>
      <c r="E16">
        <v>11074</v>
      </c>
      <c r="F16">
        <v>10574</v>
      </c>
      <c r="G16">
        <v>10674</v>
      </c>
      <c r="H16">
        <v>665.86</v>
      </c>
      <c r="I16">
        <v>33.74</v>
      </c>
    </row>
    <row r="17" spans="1:9" x14ac:dyDescent="0.35">
      <c r="A17">
        <v>2550</v>
      </c>
      <c r="B17" t="s">
        <v>12</v>
      </c>
      <c r="C17">
        <v>10531.54</v>
      </c>
      <c r="D17">
        <v>653.08000000000004</v>
      </c>
      <c r="E17">
        <v>11184.62</v>
      </c>
      <c r="F17">
        <v>10684.62</v>
      </c>
      <c r="G17">
        <v>10784.62</v>
      </c>
      <c r="H17">
        <v>665.12</v>
      </c>
      <c r="I17">
        <v>34.22</v>
      </c>
    </row>
    <row r="18" spans="1:9" x14ac:dyDescent="0.35">
      <c r="A18">
        <v>2550</v>
      </c>
      <c r="B18" t="s">
        <v>13</v>
      </c>
      <c r="C18">
        <v>11197.18</v>
      </c>
      <c r="D18">
        <v>662.82</v>
      </c>
      <c r="E18">
        <v>11860</v>
      </c>
      <c r="F18">
        <v>11360</v>
      </c>
      <c r="G18">
        <v>11460</v>
      </c>
      <c r="H18">
        <v>710.18</v>
      </c>
      <c r="I18">
        <v>34.28</v>
      </c>
    </row>
    <row r="19" spans="1:9" x14ac:dyDescent="0.35">
      <c r="A19">
        <v>2550</v>
      </c>
      <c r="B19" t="s">
        <v>14</v>
      </c>
      <c r="C19">
        <v>11891.85</v>
      </c>
      <c r="D19">
        <v>673.53</v>
      </c>
      <c r="E19">
        <v>12565.38</v>
      </c>
      <c r="F19">
        <v>12065.38</v>
      </c>
      <c r="G19">
        <v>12165.38</v>
      </c>
      <c r="H19">
        <v>755.25</v>
      </c>
      <c r="I19">
        <v>34.19</v>
      </c>
    </row>
    <row r="20" spans="1:9" x14ac:dyDescent="0.35">
      <c r="A20">
        <v>2550</v>
      </c>
      <c r="B20" t="s">
        <v>15</v>
      </c>
      <c r="C20">
        <v>12656.27</v>
      </c>
      <c r="D20">
        <v>684.12</v>
      </c>
      <c r="E20">
        <v>13340.38</v>
      </c>
      <c r="F20">
        <v>12840.38</v>
      </c>
      <c r="G20">
        <v>12940.38</v>
      </c>
      <c r="H20">
        <v>808.53</v>
      </c>
      <c r="I20">
        <v>33.9</v>
      </c>
    </row>
    <row r="21" spans="1:9" x14ac:dyDescent="0.35">
      <c r="A21">
        <v>2550</v>
      </c>
      <c r="B21" t="s">
        <v>16</v>
      </c>
      <c r="C21">
        <v>12554.38</v>
      </c>
      <c r="D21">
        <v>685.21</v>
      </c>
      <c r="E21">
        <v>13239.58</v>
      </c>
      <c r="F21">
        <v>12739.58</v>
      </c>
      <c r="G21">
        <v>12839.58</v>
      </c>
      <c r="H21">
        <v>805.26</v>
      </c>
      <c r="I21">
        <v>33.729999999999997</v>
      </c>
    </row>
    <row r="22" spans="1:9" x14ac:dyDescent="0.35">
      <c r="A22">
        <v>2551</v>
      </c>
      <c r="B22" t="s">
        <v>17</v>
      </c>
      <c r="C22">
        <v>13623.38</v>
      </c>
      <c r="D22">
        <v>702.62</v>
      </c>
      <c r="E22">
        <v>14326</v>
      </c>
      <c r="F22">
        <v>13826</v>
      </c>
      <c r="G22">
        <v>13926</v>
      </c>
      <c r="H22">
        <v>890.31</v>
      </c>
      <c r="I22">
        <v>33.18</v>
      </c>
    </row>
    <row r="23" spans="1:9" x14ac:dyDescent="0.35">
      <c r="A23">
        <v>2551</v>
      </c>
      <c r="B23" t="s">
        <v>18</v>
      </c>
      <c r="C23">
        <v>13917.6</v>
      </c>
      <c r="D23">
        <v>703.83</v>
      </c>
      <c r="E23">
        <v>14621.43</v>
      </c>
      <c r="F23">
        <v>14121.43</v>
      </c>
      <c r="G23">
        <v>14221.43</v>
      </c>
      <c r="H23">
        <v>922.51</v>
      </c>
      <c r="I23">
        <v>32.6</v>
      </c>
    </row>
    <row r="24" spans="1:9" x14ac:dyDescent="0.35">
      <c r="A24">
        <v>2551</v>
      </c>
      <c r="B24" t="s">
        <v>19</v>
      </c>
      <c r="C24">
        <v>14148.77</v>
      </c>
      <c r="D24">
        <v>706.78</v>
      </c>
      <c r="E24">
        <v>14855.56</v>
      </c>
      <c r="F24">
        <v>14355.56</v>
      </c>
      <c r="G24">
        <v>14455.56</v>
      </c>
      <c r="H24">
        <v>970.1</v>
      </c>
      <c r="I24">
        <v>31.49</v>
      </c>
    </row>
    <row r="25" spans="1:9" x14ac:dyDescent="0.35">
      <c r="A25">
        <v>2551</v>
      </c>
      <c r="B25" t="s">
        <v>20</v>
      </c>
      <c r="C25">
        <v>13423.55</v>
      </c>
      <c r="D25">
        <v>695.2</v>
      </c>
      <c r="E25">
        <v>14118.75</v>
      </c>
      <c r="F25">
        <v>13618.75</v>
      </c>
      <c r="G25">
        <v>13718.75</v>
      </c>
      <c r="H25">
        <v>911.18</v>
      </c>
      <c r="I25">
        <v>31.62</v>
      </c>
    </row>
    <row r="26" spans="1:9" x14ac:dyDescent="0.35">
      <c r="A26">
        <v>2551</v>
      </c>
      <c r="B26" t="s">
        <v>9</v>
      </c>
      <c r="C26">
        <v>13294.06</v>
      </c>
      <c r="D26">
        <v>695.53</v>
      </c>
      <c r="E26">
        <v>13989.58</v>
      </c>
      <c r="F26">
        <v>13489.58</v>
      </c>
      <c r="G26">
        <v>13589.58</v>
      </c>
      <c r="H26">
        <v>891</v>
      </c>
      <c r="I26">
        <v>32.11</v>
      </c>
    </row>
    <row r="27" spans="1:9" x14ac:dyDescent="0.35">
      <c r="A27">
        <v>2551</v>
      </c>
      <c r="B27" t="s">
        <v>10</v>
      </c>
      <c r="C27">
        <v>13677.48</v>
      </c>
      <c r="D27">
        <v>701.69</v>
      </c>
      <c r="E27">
        <v>14379.17</v>
      </c>
      <c r="F27">
        <v>13879.17</v>
      </c>
      <c r="G27">
        <v>13979.17</v>
      </c>
      <c r="H27">
        <v>886.86</v>
      </c>
      <c r="I27">
        <v>33.21</v>
      </c>
    </row>
    <row r="28" spans="1:9" x14ac:dyDescent="0.35">
      <c r="A28">
        <v>2551</v>
      </c>
      <c r="B28" t="s">
        <v>11</v>
      </c>
      <c r="C28">
        <v>14602.58</v>
      </c>
      <c r="D28">
        <v>712.81</v>
      </c>
      <c r="E28">
        <v>15315.38</v>
      </c>
      <c r="F28">
        <v>14815.38</v>
      </c>
      <c r="G28">
        <v>14915.38</v>
      </c>
      <c r="H28">
        <v>940.47</v>
      </c>
      <c r="I28">
        <v>33.5</v>
      </c>
    </row>
    <row r="29" spans="1:9" x14ac:dyDescent="0.35">
      <c r="A29">
        <v>2551</v>
      </c>
      <c r="B29" t="s">
        <v>12</v>
      </c>
      <c r="C29">
        <v>13336.56</v>
      </c>
      <c r="D29">
        <v>695.44</v>
      </c>
      <c r="E29">
        <v>14032</v>
      </c>
      <c r="F29">
        <v>13532</v>
      </c>
      <c r="G29">
        <v>13632</v>
      </c>
      <c r="H29">
        <v>846.91</v>
      </c>
      <c r="I29">
        <v>33.85</v>
      </c>
    </row>
    <row r="30" spans="1:9" x14ac:dyDescent="0.35">
      <c r="A30">
        <v>2551</v>
      </c>
      <c r="B30" t="s">
        <v>13</v>
      </c>
      <c r="C30">
        <v>13097.66</v>
      </c>
      <c r="D30">
        <v>692.73</v>
      </c>
      <c r="E30">
        <v>13790.38</v>
      </c>
      <c r="F30">
        <v>13290.38</v>
      </c>
      <c r="G30">
        <v>13390.38</v>
      </c>
      <c r="H30">
        <v>826.69</v>
      </c>
      <c r="I30">
        <v>34.31</v>
      </c>
    </row>
    <row r="31" spans="1:9" x14ac:dyDescent="0.35">
      <c r="A31">
        <v>2551</v>
      </c>
      <c r="B31" t="s">
        <v>14</v>
      </c>
      <c r="C31">
        <v>13156.07</v>
      </c>
      <c r="D31">
        <v>693.93</v>
      </c>
      <c r="E31">
        <v>13850</v>
      </c>
      <c r="F31">
        <v>13350</v>
      </c>
      <c r="G31">
        <v>13450</v>
      </c>
      <c r="H31">
        <v>813.02</v>
      </c>
      <c r="I31">
        <v>34.450000000000003</v>
      </c>
    </row>
    <row r="32" spans="1:9" x14ac:dyDescent="0.35">
      <c r="A32">
        <v>2551</v>
      </c>
      <c r="B32" t="s">
        <v>15</v>
      </c>
      <c r="C32">
        <v>12428.67</v>
      </c>
      <c r="D32">
        <v>681.74</v>
      </c>
      <c r="E32">
        <v>13110.42</v>
      </c>
      <c r="F32">
        <v>12610.42</v>
      </c>
      <c r="G32">
        <v>12710.42</v>
      </c>
      <c r="H32">
        <v>759.82</v>
      </c>
      <c r="I32">
        <v>35.1</v>
      </c>
    </row>
    <row r="33" spans="1:9" x14ac:dyDescent="0.35">
      <c r="A33">
        <v>2551</v>
      </c>
      <c r="B33" t="s">
        <v>16</v>
      </c>
      <c r="C33">
        <v>13231.65</v>
      </c>
      <c r="D33">
        <v>694.35</v>
      </c>
      <c r="E33">
        <v>13926</v>
      </c>
      <c r="F33">
        <v>13426</v>
      </c>
      <c r="G33">
        <v>13526</v>
      </c>
      <c r="H33">
        <v>821.75</v>
      </c>
      <c r="I33">
        <v>34.99</v>
      </c>
    </row>
    <row r="34" spans="1:9" x14ac:dyDescent="0.35">
      <c r="A34">
        <v>2552</v>
      </c>
      <c r="B34" t="s">
        <v>17</v>
      </c>
      <c r="C34">
        <v>13779.78</v>
      </c>
      <c r="D34">
        <v>702.83</v>
      </c>
      <c r="E34">
        <v>14482.61</v>
      </c>
      <c r="F34">
        <v>13982.61</v>
      </c>
      <c r="G34">
        <v>14082.61</v>
      </c>
      <c r="H34">
        <v>856.94</v>
      </c>
      <c r="I34">
        <v>34.85</v>
      </c>
    </row>
    <row r="35" spans="1:9" x14ac:dyDescent="0.35">
      <c r="A35">
        <v>2552</v>
      </c>
      <c r="B35" t="s">
        <v>18</v>
      </c>
      <c r="C35">
        <v>15181.75</v>
      </c>
      <c r="D35">
        <v>724.77</v>
      </c>
      <c r="E35">
        <v>15906.52</v>
      </c>
      <c r="F35">
        <v>15406.52</v>
      </c>
      <c r="G35">
        <v>15506.52</v>
      </c>
      <c r="H35">
        <v>940.79</v>
      </c>
      <c r="I35">
        <v>35.299999999999997</v>
      </c>
    </row>
    <row r="36" spans="1:9" x14ac:dyDescent="0.35">
      <c r="A36">
        <v>2552</v>
      </c>
      <c r="B36" t="s">
        <v>19</v>
      </c>
      <c r="C36">
        <v>15430.55</v>
      </c>
      <c r="D36">
        <v>727.14</v>
      </c>
      <c r="E36">
        <v>16157.69</v>
      </c>
      <c r="F36">
        <v>15657.69</v>
      </c>
      <c r="G36">
        <v>15757.69</v>
      </c>
      <c r="H36">
        <v>929.1</v>
      </c>
      <c r="I36">
        <v>35.79</v>
      </c>
    </row>
    <row r="37" spans="1:9" x14ac:dyDescent="0.35">
      <c r="A37">
        <v>2552</v>
      </c>
      <c r="B37" t="s">
        <v>20</v>
      </c>
      <c r="C37">
        <v>14735.52</v>
      </c>
      <c r="D37">
        <v>716.75</v>
      </c>
      <c r="E37">
        <v>15452.27</v>
      </c>
      <c r="F37">
        <v>14952.27</v>
      </c>
      <c r="G37">
        <v>15052.27</v>
      </c>
      <c r="H37">
        <v>891.82</v>
      </c>
      <c r="I37">
        <v>35.5</v>
      </c>
    </row>
    <row r="38" spans="1:9" x14ac:dyDescent="0.35">
      <c r="A38">
        <v>2552</v>
      </c>
      <c r="B38" t="s">
        <v>9</v>
      </c>
      <c r="C38">
        <v>14952.18</v>
      </c>
      <c r="D38">
        <v>720.74</v>
      </c>
      <c r="E38">
        <v>15672.92</v>
      </c>
      <c r="F38">
        <v>15172.92</v>
      </c>
      <c r="G38">
        <v>15272.92</v>
      </c>
      <c r="H38">
        <v>930.44</v>
      </c>
      <c r="I38">
        <v>34.630000000000003</v>
      </c>
    </row>
    <row r="39" spans="1:9" x14ac:dyDescent="0.35">
      <c r="A39">
        <v>2552</v>
      </c>
      <c r="B39" t="s">
        <v>10</v>
      </c>
      <c r="C39">
        <v>15066.71</v>
      </c>
      <c r="D39">
        <v>719.83</v>
      </c>
      <c r="E39">
        <v>15786.54</v>
      </c>
      <c r="F39">
        <v>15286.54</v>
      </c>
      <c r="G39">
        <v>15386.54</v>
      </c>
      <c r="H39">
        <v>947</v>
      </c>
      <c r="I39">
        <v>34.159999999999997</v>
      </c>
    </row>
    <row r="40" spans="1:9" x14ac:dyDescent="0.35">
      <c r="A40">
        <v>2552</v>
      </c>
      <c r="B40" t="s">
        <v>11</v>
      </c>
      <c r="C40">
        <v>14800.82</v>
      </c>
      <c r="D40">
        <v>718.41</v>
      </c>
      <c r="E40">
        <v>15519.23</v>
      </c>
      <c r="F40">
        <v>15019.23</v>
      </c>
      <c r="G40">
        <v>15119.23</v>
      </c>
      <c r="H40">
        <v>934.88</v>
      </c>
      <c r="I40">
        <v>34.049999999999997</v>
      </c>
    </row>
    <row r="41" spans="1:9" x14ac:dyDescent="0.35">
      <c r="A41">
        <v>2552</v>
      </c>
      <c r="B41" t="s">
        <v>12</v>
      </c>
      <c r="C41">
        <v>15004.16</v>
      </c>
      <c r="D41">
        <v>719.84</v>
      </c>
      <c r="E41">
        <v>15724</v>
      </c>
      <c r="F41">
        <v>15224</v>
      </c>
      <c r="G41">
        <v>15324</v>
      </c>
      <c r="H41">
        <v>950.55</v>
      </c>
      <c r="I41">
        <v>34.03</v>
      </c>
    </row>
    <row r="42" spans="1:9" x14ac:dyDescent="0.35">
      <c r="A42">
        <v>2552</v>
      </c>
      <c r="B42" t="s">
        <v>13</v>
      </c>
      <c r="C42">
        <v>15611.88</v>
      </c>
      <c r="D42">
        <v>730.42</v>
      </c>
      <c r="E42">
        <v>16342.31</v>
      </c>
      <c r="F42">
        <v>15842.31</v>
      </c>
      <c r="G42">
        <v>15942.31</v>
      </c>
      <c r="H42">
        <v>996.35</v>
      </c>
      <c r="I42">
        <v>33.82</v>
      </c>
    </row>
    <row r="43" spans="1:9" x14ac:dyDescent="0.35">
      <c r="A43">
        <v>2552</v>
      </c>
      <c r="B43" t="s">
        <v>14</v>
      </c>
      <c r="C43">
        <v>16151.23</v>
      </c>
      <c r="D43">
        <v>739.15</v>
      </c>
      <c r="E43">
        <v>16890.38</v>
      </c>
      <c r="F43">
        <v>16390.38</v>
      </c>
      <c r="G43">
        <v>16490.38</v>
      </c>
      <c r="H43">
        <v>1042.3399999999999</v>
      </c>
      <c r="I43">
        <v>33.409999999999997</v>
      </c>
    </row>
    <row r="44" spans="1:9" x14ac:dyDescent="0.35">
      <c r="A44">
        <v>2552</v>
      </c>
      <c r="B44" t="s">
        <v>15</v>
      </c>
      <c r="C44">
        <v>17430.36</v>
      </c>
      <c r="D44">
        <v>755.64</v>
      </c>
      <c r="E44">
        <v>18186</v>
      </c>
      <c r="F44">
        <v>17686</v>
      </c>
      <c r="G44">
        <v>17786</v>
      </c>
      <c r="H44">
        <v>1127.3900000000001</v>
      </c>
      <c r="I44">
        <v>33.29</v>
      </c>
    </row>
    <row r="45" spans="1:9" x14ac:dyDescent="0.35">
      <c r="A45">
        <v>2552</v>
      </c>
      <c r="B45" t="s">
        <v>16</v>
      </c>
      <c r="C45">
        <v>17502.8</v>
      </c>
      <c r="D45">
        <v>758.74</v>
      </c>
      <c r="E45">
        <v>18261.54</v>
      </c>
      <c r="F45">
        <v>17761.54</v>
      </c>
      <c r="G45">
        <v>17861.54</v>
      </c>
      <c r="H45">
        <v>1130.4100000000001</v>
      </c>
      <c r="I45">
        <v>33.26</v>
      </c>
    </row>
    <row r="46" spans="1:9" x14ac:dyDescent="0.35">
      <c r="A46">
        <v>2553</v>
      </c>
      <c r="B46" t="s">
        <v>17</v>
      </c>
      <c r="C46">
        <v>17221.759999999998</v>
      </c>
      <c r="D46">
        <v>753.24</v>
      </c>
      <c r="E46">
        <v>17975</v>
      </c>
      <c r="F46">
        <v>17475</v>
      </c>
      <c r="G46">
        <v>17575</v>
      </c>
      <c r="H46">
        <v>1121.8</v>
      </c>
      <c r="I46">
        <v>33.08</v>
      </c>
    </row>
    <row r="47" spans="1:9" x14ac:dyDescent="0.35">
      <c r="A47">
        <v>2553</v>
      </c>
      <c r="B47" t="s">
        <v>18</v>
      </c>
      <c r="C47">
        <v>16906.560000000001</v>
      </c>
      <c r="D47">
        <v>747.61</v>
      </c>
      <c r="E47">
        <v>17654.169999999998</v>
      </c>
      <c r="F47">
        <v>17154.169999999998</v>
      </c>
      <c r="G47">
        <v>17254.169999999998</v>
      </c>
      <c r="H47">
        <v>1096.93</v>
      </c>
      <c r="I47">
        <v>33.19</v>
      </c>
    </row>
    <row r="48" spans="1:9" x14ac:dyDescent="0.35">
      <c r="A48">
        <v>2553</v>
      </c>
      <c r="B48" t="s">
        <v>19</v>
      </c>
      <c r="C48">
        <v>16889.36</v>
      </c>
      <c r="D48">
        <v>747.67</v>
      </c>
      <c r="E48">
        <v>17637.04</v>
      </c>
      <c r="F48">
        <v>17137.04</v>
      </c>
      <c r="G48">
        <v>17237.04</v>
      </c>
      <c r="H48">
        <v>1116.17</v>
      </c>
      <c r="I48">
        <v>32.54</v>
      </c>
    </row>
    <row r="49" spans="1:9" x14ac:dyDescent="0.35">
      <c r="A49">
        <v>2553</v>
      </c>
      <c r="B49" t="s">
        <v>20</v>
      </c>
      <c r="C49">
        <v>17141.830000000002</v>
      </c>
      <c r="D49">
        <v>751.36</v>
      </c>
      <c r="E49">
        <v>17893.18</v>
      </c>
      <c r="F49">
        <v>17393.18</v>
      </c>
      <c r="G49">
        <v>17493.18</v>
      </c>
      <c r="H49">
        <v>1145.72</v>
      </c>
      <c r="I49">
        <v>32.29</v>
      </c>
    </row>
    <row r="50" spans="1:9" x14ac:dyDescent="0.35">
      <c r="A50">
        <v>2553</v>
      </c>
      <c r="B50" t="s">
        <v>9</v>
      </c>
      <c r="C50">
        <v>18066.59</v>
      </c>
      <c r="D50">
        <v>765.23</v>
      </c>
      <c r="E50">
        <v>18831.82</v>
      </c>
      <c r="F50">
        <v>18331.82</v>
      </c>
      <c r="G50">
        <v>18431.82</v>
      </c>
      <c r="H50">
        <v>1204.06</v>
      </c>
      <c r="I50">
        <v>32.380000000000003</v>
      </c>
    </row>
    <row r="51" spans="1:9" x14ac:dyDescent="0.35">
      <c r="A51">
        <v>2553</v>
      </c>
      <c r="B51" t="s">
        <v>10</v>
      </c>
      <c r="C51">
        <v>18575.66</v>
      </c>
      <c r="D51">
        <v>772.41</v>
      </c>
      <c r="E51">
        <v>19348.080000000002</v>
      </c>
      <c r="F51">
        <v>18848.080000000002</v>
      </c>
      <c r="G51">
        <v>18948.080000000002</v>
      </c>
      <c r="H51">
        <v>1232.98</v>
      </c>
      <c r="I51">
        <v>32.46</v>
      </c>
    </row>
    <row r="52" spans="1:9" x14ac:dyDescent="0.35">
      <c r="A52">
        <v>2553</v>
      </c>
      <c r="B52" t="s">
        <v>11</v>
      </c>
      <c r="C52">
        <v>18028.05</v>
      </c>
      <c r="D52">
        <v>766.4</v>
      </c>
      <c r="E52">
        <v>18794.439999999999</v>
      </c>
      <c r="F52">
        <v>18294.439999999999</v>
      </c>
      <c r="G52">
        <v>18394.439999999999</v>
      </c>
      <c r="H52">
        <v>1197.17</v>
      </c>
      <c r="I52">
        <v>32.340000000000003</v>
      </c>
    </row>
    <row r="53" spans="1:9" x14ac:dyDescent="0.35">
      <c r="A53">
        <v>2553</v>
      </c>
      <c r="B53" t="s">
        <v>12</v>
      </c>
      <c r="C53">
        <v>17946.41</v>
      </c>
      <c r="D53">
        <v>763.59</v>
      </c>
      <c r="E53">
        <v>18710</v>
      </c>
      <c r="F53">
        <v>18210</v>
      </c>
      <c r="G53">
        <v>18310</v>
      </c>
      <c r="H53">
        <v>1216</v>
      </c>
      <c r="I53">
        <v>31.75</v>
      </c>
    </row>
    <row r="54" spans="1:9" x14ac:dyDescent="0.35">
      <c r="A54">
        <v>2553</v>
      </c>
      <c r="B54" t="s">
        <v>13</v>
      </c>
      <c r="C54">
        <v>18196.66</v>
      </c>
      <c r="D54">
        <v>766.8</v>
      </c>
      <c r="E54">
        <v>18963.46</v>
      </c>
      <c r="F54">
        <v>18463.46</v>
      </c>
      <c r="G54">
        <v>18563.46</v>
      </c>
      <c r="H54">
        <v>1271.57</v>
      </c>
      <c r="I54">
        <v>30.85</v>
      </c>
    </row>
    <row r="55" spans="1:9" x14ac:dyDescent="0.35">
      <c r="A55">
        <v>2553</v>
      </c>
      <c r="B55" t="s">
        <v>14</v>
      </c>
      <c r="C55">
        <v>18691.07</v>
      </c>
      <c r="D55">
        <v>774.93</v>
      </c>
      <c r="E55">
        <v>19466</v>
      </c>
      <c r="F55">
        <v>18966</v>
      </c>
      <c r="G55">
        <v>19066</v>
      </c>
      <c r="H55">
        <v>1342.85</v>
      </c>
      <c r="I55">
        <v>29.98</v>
      </c>
    </row>
    <row r="56" spans="1:9" x14ac:dyDescent="0.35">
      <c r="A56">
        <v>2553</v>
      </c>
      <c r="B56" t="s">
        <v>15</v>
      </c>
      <c r="C56">
        <v>19039.79</v>
      </c>
      <c r="D56">
        <v>779.44</v>
      </c>
      <c r="E56">
        <v>19819.23</v>
      </c>
      <c r="F56">
        <v>19319.23</v>
      </c>
      <c r="G56">
        <v>19419.23</v>
      </c>
      <c r="H56">
        <v>1372.16</v>
      </c>
      <c r="I56">
        <v>29.89</v>
      </c>
    </row>
    <row r="57" spans="1:9" x14ac:dyDescent="0.35">
      <c r="A57">
        <v>2553</v>
      </c>
      <c r="B57" t="s">
        <v>16</v>
      </c>
      <c r="C57">
        <v>19473.93</v>
      </c>
      <c r="D57">
        <v>786.07</v>
      </c>
      <c r="E57">
        <v>20260</v>
      </c>
      <c r="F57">
        <v>19760</v>
      </c>
      <c r="G57">
        <v>19860</v>
      </c>
      <c r="H57">
        <v>1392.05</v>
      </c>
      <c r="I57">
        <v>30.13</v>
      </c>
    </row>
    <row r="58" spans="1:9" x14ac:dyDescent="0.35">
      <c r="A58">
        <v>2554</v>
      </c>
      <c r="B58" t="s">
        <v>17</v>
      </c>
      <c r="C58">
        <v>19422.39</v>
      </c>
      <c r="D58">
        <v>785.61</v>
      </c>
      <c r="E58">
        <v>20208</v>
      </c>
      <c r="F58">
        <v>19708</v>
      </c>
      <c r="G58">
        <v>19808</v>
      </c>
      <c r="H58">
        <v>1365.69</v>
      </c>
      <c r="I58">
        <v>30.61</v>
      </c>
    </row>
    <row r="59" spans="1:9" x14ac:dyDescent="0.35">
      <c r="A59">
        <v>2554</v>
      </c>
      <c r="B59" t="s">
        <v>18</v>
      </c>
      <c r="C59">
        <v>19590.330000000002</v>
      </c>
      <c r="D59">
        <v>788.24</v>
      </c>
      <c r="E59">
        <v>20378.57</v>
      </c>
      <c r="F59">
        <v>19878.57</v>
      </c>
      <c r="G59">
        <v>19978.57</v>
      </c>
      <c r="H59">
        <v>1374.85</v>
      </c>
      <c r="I59">
        <v>30.7</v>
      </c>
    </row>
    <row r="60" spans="1:9" x14ac:dyDescent="0.35">
      <c r="A60">
        <v>2554</v>
      </c>
      <c r="B60" t="s">
        <v>19</v>
      </c>
      <c r="C60">
        <v>20090.93</v>
      </c>
      <c r="D60">
        <v>796.11</v>
      </c>
      <c r="E60">
        <v>20887.04</v>
      </c>
      <c r="F60">
        <v>20387.04</v>
      </c>
      <c r="G60">
        <v>20487.04</v>
      </c>
      <c r="H60">
        <v>1422.78</v>
      </c>
      <c r="I60">
        <v>30.39</v>
      </c>
    </row>
    <row r="61" spans="1:9" x14ac:dyDescent="0.35">
      <c r="A61">
        <v>2554</v>
      </c>
      <c r="B61" t="s">
        <v>20</v>
      </c>
      <c r="C61">
        <v>20728.54</v>
      </c>
      <c r="D61">
        <v>805.55</v>
      </c>
      <c r="E61">
        <v>21534.09</v>
      </c>
      <c r="F61">
        <v>21034.09</v>
      </c>
      <c r="G61">
        <v>21134.09</v>
      </c>
      <c r="H61">
        <v>1484.71</v>
      </c>
      <c r="I61">
        <v>30.06</v>
      </c>
    </row>
    <row r="62" spans="1:9" x14ac:dyDescent="0.35">
      <c r="A62">
        <v>2554</v>
      </c>
      <c r="B62" t="s">
        <v>9</v>
      </c>
      <c r="C62">
        <v>21294.75</v>
      </c>
      <c r="D62">
        <v>813.59</v>
      </c>
      <c r="E62">
        <v>22108.33</v>
      </c>
      <c r="F62">
        <v>21608.33</v>
      </c>
      <c r="G62">
        <v>21708.33</v>
      </c>
      <c r="H62">
        <v>1515.83</v>
      </c>
      <c r="I62">
        <v>30.27</v>
      </c>
    </row>
    <row r="63" spans="1:9" x14ac:dyDescent="0.35">
      <c r="A63">
        <v>2554</v>
      </c>
      <c r="B63" t="s">
        <v>10</v>
      </c>
      <c r="C63">
        <v>21697.46</v>
      </c>
      <c r="D63">
        <v>819.85</v>
      </c>
      <c r="E63">
        <v>22517.31</v>
      </c>
      <c r="F63">
        <v>22017.31</v>
      </c>
      <c r="G63">
        <v>22117.31</v>
      </c>
      <c r="H63">
        <v>1529.41</v>
      </c>
      <c r="I63">
        <v>30.53</v>
      </c>
    </row>
    <row r="64" spans="1:9" x14ac:dyDescent="0.35">
      <c r="A64">
        <v>2554</v>
      </c>
      <c r="B64" t="s">
        <v>11</v>
      </c>
      <c r="C64">
        <v>21954.6</v>
      </c>
      <c r="D64">
        <v>822.33</v>
      </c>
      <c r="E64">
        <v>22776.92</v>
      </c>
      <c r="F64">
        <v>22276.92</v>
      </c>
      <c r="G64">
        <v>22376.92</v>
      </c>
      <c r="H64">
        <v>1569.07</v>
      </c>
      <c r="I64">
        <v>30.07</v>
      </c>
    </row>
    <row r="65" spans="1:9" x14ac:dyDescent="0.35">
      <c r="A65">
        <v>2554</v>
      </c>
      <c r="B65" t="s">
        <v>12</v>
      </c>
      <c r="C65">
        <v>24530.63</v>
      </c>
      <c r="D65">
        <v>861.68</v>
      </c>
      <c r="E65">
        <v>25392.31</v>
      </c>
      <c r="F65">
        <v>24892.31</v>
      </c>
      <c r="G65">
        <v>24992.31</v>
      </c>
      <c r="H65">
        <v>1762.68</v>
      </c>
      <c r="I65">
        <v>29.9</v>
      </c>
    </row>
    <row r="66" spans="1:9" x14ac:dyDescent="0.35">
      <c r="A66">
        <v>2554</v>
      </c>
      <c r="B66" t="s">
        <v>13</v>
      </c>
      <c r="C66">
        <v>25267.64</v>
      </c>
      <c r="D66">
        <v>870.82</v>
      </c>
      <c r="E66">
        <v>26138.46</v>
      </c>
      <c r="F66">
        <v>25638.46</v>
      </c>
      <c r="G66">
        <v>25738.46</v>
      </c>
      <c r="H66">
        <v>1780</v>
      </c>
      <c r="I66">
        <v>30.44</v>
      </c>
    </row>
    <row r="67" spans="1:9" x14ac:dyDescent="0.35">
      <c r="A67">
        <v>2554</v>
      </c>
      <c r="B67" t="s">
        <v>14</v>
      </c>
      <c r="C67">
        <v>23967.38</v>
      </c>
      <c r="D67">
        <v>853.78</v>
      </c>
      <c r="E67">
        <v>24821.15</v>
      </c>
      <c r="F67">
        <v>24321.15</v>
      </c>
      <c r="G67">
        <v>24421.15</v>
      </c>
      <c r="H67">
        <v>1668.1</v>
      </c>
      <c r="I67">
        <v>30.89</v>
      </c>
    </row>
    <row r="68" spans="1:9" x14ac:dyDescent="0.35">
      <c r="A68">
        <v>2554</v>
      </c>
      <c r="B68" t="s">
        <v>15</v>
      </c>
      <c r="C68">
        <v>25013.42</v>
      </c>
      <c r="D68">
        <v>867.35</v>
      </c>
      <c r="E68">
        <v>25880.77</v>
      </c>
      <c r="F68">
        <v>25380.77</v>
      </c>
      <c r="G68">
        <v>25480.77</v>
      </c>
      <c r="H68">
        <v>1737.52</v>
      </c>
      <c r="I68">
        <v>30.96</v>
      </c>
    </row>
    <row r="69" spans="1:9" x14ac:dyDescent="0.35">
      <c r="A69">
        <v>2554</v>
      </c>
      <c r="B69" t="s">
        <v>16</v>
      </c>
      <c r="C69">
        <v>24033.09</v>
      </c>
      <c r="D69">
        <v>855.8</v>
      </c>
      <c r="E69">
        <v>24888.89</v>
      </c>
      <c r="F69">
        <v>24388.89</v>
      </c>
      <c r="G69">
        <v>24488.89</v>
      </c>
      <c r="H69">
        <v>1655.84</v>
      </c>
      <c r="I69">
        <v>31.23</v>
      </c>
    </row>
    <row r="70" spans="1:9" x14ac:dyDescent="0.35">
      <c r="A70">
        <v>2555</v>
      </c>
      <c r="B70" t="s">
        <v>17</v>
      </c>
      <c r="C70">
        <v>24271.82</v>
      </c>
      <c r="D70">
        <v>858.62</v>
      </c>
      <c r="E70">
        <v>25130.43</v>
      </c>
      <c r="F70">
        <v>24630.43</v>
      </c>
      <c r="G70">
        <v>24730.43</v>
      </c>
      <c r="H70">
        <v>1651.37</v>
      </c>
      <c r="I70">
        <v>31.61</v>
      </c>
    </row>
    <row r="71" spans="1:9" x14ac:dyDescent="0.35">
      <c r="A71">
        <v>2555</v>
      </c>
      <c r="B71" t="s">
        <v>18</v>
      </c>
      <c r="C71">
        <v>24910.91</v>
      </c>
      <c r="D71">
        <v>867.09</v>
      </c>
      <c r="E71">
        <v>25778</v>
      </c>
      <c r="F71">
        <v>25278</v>
      </c>
      <c r="G71">
        <v>25378</v>
      </c>
      <c r="H71">
        <v>1744.43</v>
      </c>
      <c r="I71">
        <v>30.73</v>
      </c>
    </row>
    <row r="72" spans="1:9" x14ac:dyDescent="0.35">
      <c r="A72">
        <v>2555</v>
      </c>
      <c r="B72" t="s">
        <v>19</v>
      </c>
      <c r="C72">
        <v>23983.73</v>
      </c>
      <c r="D72">
        <v>854.27</v>
      </c>
      <c r="E72">
        <v>24838</v>
      </c>
      <c r="F72">
        <v>24338</v>
      </c>
      <c r="G72">
        <v>24438</v>
      </c>
      <c r="H72">
        <v>1676.95</v>
      </c>
      <c r="I72">
        <v>30.72</v>
      </c>
    </row>
    <row r="73" spans="1:9" x14ac:dyDescent="0.35">
      <c r="A73">
        <v>2555</v>
      </c>
      <c r="B73" t="s">
        <v>20</v>
      </c>
      <c r="C73">
        <v>23693.7</v>
      </c>
      <c r="D73">
        <v>849.48</v>
      </c>
      <c r="E73">
        <v>24543.18</v>
      </c>
      <c r="F73">
        <v>24043.18</v>
      </c>
      <c r="G73">
        <v>24143.18</v>
      </c>
      <c r="H73">
        <v>1647.81</v>
      </c>
      <c r="I73">
        <v>30.9</v>
      </c>
    </row>
    <row r="74" spans="1:9" x14ac:dyDescent="0.35">
      <c r="A74">
        <v>2555</v>
      </c>
      <c r="B74" t="s">
        <v>9</v>
      </c>
      <c r="C74">
        <v>23109.9</v>
      </c>
      <c r="D74">
        <v>840.1</v>
      </c>
      <c r="E74">
        <v>23950</v>
      </c>
      <c r="F74">
        <v>23450</v>
      </c>
      <c r="G74">
        <v>23550</v>
      </c>
      <c r="H74">
        <v>1585.27</v>
      </c>
      <c r="I74">
        <v>31.36</v>
      </c>
    </row>
    <row r="75" spans="1:9" x14ac:dyDescent="0.35">
      <c r="A75">
        <v>2555</v>
      </c>
      <c r="B75" t="s">
        <v>10</v>
      </c>
      <c r="C75">
        <v>23508.31</v>
      </c>
      <c r="D75">
        <v>845.69</v>
      </c>
      <c r="E75">
        <v>24354</v>
      </c>
      <c r="F75">
        <v>23854</v>
      </c>
      <c r="G75">
        <v>23954</v>
      </c>
      <c r="H75">
        <v>1596.63</v>
      </c>
      <c r="I75">
        <v>31.68</v>
      </c>
    </row>
    <row r="76" spans="1:9" x14ac:dyDescent="0.35">
      <c r="A76">
        <v>2555</v>
      </c>
      <c r="B76" t="s">
        <v>11</v>
      </c>
      <c r="C76">
        <v>23444.94</v>
      </c>
      <c r="D76">
        <v>845.44</v>
      </c>
      <c r="E76">
        <v>24290.38</v>
      </c>
      <c r="F76">
        <v>23790.38</v>
      </c>
      <c r="G76">
        <v>23890.38</v>
      </c>
      <c r="H76">
        <v>1593.55</v>
      </c>
      <c r="I76">
        <v>31.66</v>
      </c>
    </row>
    <row r="77" spans="1:9" x14ac:dyDescent="0.35">
      <c r="A77">
        <v>2555</v>
      </c>
      <c r="B77" t="s">
        <v>12</v>
      </c>
      <c r="C77">
        <v>23803.02</v>
      </c>
      <c r="D77">
        <v>850.98</v>
      </c>
      <c r="E77">
        <v>24654</v>
      </c>
      <c r="F77">
        <v>24154</v>
      </c>
      <c r="G77">
        <v>24254</v>
      </c>
      <c r="H77">
        <v>1629.38</v>
      </c>
      <c r="I77">
        <v>31.44</v>
      </c>
    </row>
    <row r="78" spans="1:9" x14ac:dyDescent="0.35">
      <c r="A78">
        <v>2555</v>
      </c>
      <c r="B78" t="s">
        <v>13</v>
      </c>
      <c r="C78">
        <v>25083.13</v>
      </c>
      <c r="D78">
        <v>868.87</v>
      </c>
      <c r="E78">
        <v>25952</v>
      </c>
      <c r="F78">
        <v>25452</v>
      </c>
      <c r="G78">
        <v>25552</v>
      </c>
      <c r="H78">
        <v>1742.43</v>
      </c>
      <c r="I78">
        <v>30.99</v>
      </c>
    </row>
    <row r="79" spans="1:9" x14ac:dyDescent="0.35">
      <c r="A79">
        <v>2555</v>
      </c>
      <c r="B79" t="s">
        <v>14</v>
      </c>
      <c r="C79">
        <v>24949.86</v>
      </c>
      <c r="D79">
        <v>869.37</v>
      </c>
      <c r="E79">
        <v>25819.23</v>
      </c>
      <c r="F79">
        <v>25319.23</v>
      </c>
      <c r="G79">
        <v>25419.23</v>
      </c>
      <c r="H79">
        <v>1747.77</v>
      </c>
      <c r="I79">
        <v>30.7</v>
      </c>
    </row>
    <row r="80" spans="1:9" x14ac:dyDescent="0.35">
      <c r="A80">
        <v>2555</v>
      </c>
      <c r="B80" t="s">
        <v>15</v>
      </c>
      <c r="C80">
        <v>24618.09</v>
      </c>
      <c r="D80">
        <v>862.68</v>
      </c>
      <c r="E80">
        <v>25480.77</v>
      </c>
      <c r="F80">
        <v>24980.77</v>
      </c>
      <c r="G80">
        <v>25080.77</v>
      </c>
      <c r="H80">
        <v>1724.59</v>
      </c>
      <c r="I80">
        <v>30.71</v>
      </c>
    </row>
    <row r="81" spans="1:9" x14ac:dyDescent="0.35">
      <c r="A81">
        <v>2555</v>
      </c>
      <c r="B81" t="s">
        <v>16</v>
      </c>
      <c r="C81">
        <v>24063.97</v>
      </c>
      <c r="D81">
        <v>854.78</v>
      </c>
      <c r="E81">
        <v>24918.75</v>
      </c>
      <c r="F81">
        <v>24418.75</v>
      </c>
      <c r="G81">
        <v>24518.75</v>
      </c>
      <c r="H81">
        <v>1685.31</v>
      </c>
      <c r="I81">
        <v>30.65</v>
      </c>
    </row>
    <row r="82" spans="1:9" x14ac:dyDescent="0.35">
      <c r="A82">
        <v>2556</v>
      </c>
      <c r="B82" t="s">
        <v>17</v>
      </c>
      <c r="C82">
        <v>23412.87</v>
      </c>
      <c r="D82">
        <v>844.82</v>
      </c>
      <c r="E82">
        <v>24257.69</v>
      </c>
      <c r="F82">
        <v>23757.69</v>
      </c>
      <c r="G82">
        <v>23857.69</v>
      </c>
      <c r="H82">
        <v>1672.57</v>
      </c>
      <c r="I82">
        <v>30.08</v>
      </c>
    </row>
    <row r="83" spans="1:9" x14ac:dyDescent="0.35">
      <c r="A83">
        <v>2556</v>
      </c>
      <c r="B83" t="s">
        <v>18</v>
      </c>
      <c r="C83">
        <v>22683.31</v>
      </c>
      <c r="D83">
        <v>834.08</v>
      </c>
      <c r="E83">
        <v>23517.39</v>
      </c>
      <c r="F83">
        <v>23017.39</v>
      </c>
      <c r="G83">
        <v>23117.39</v>
      </c>
      <c r="H83">
        <v>1634</v>
      </c>
      <c r="I83">
        <v>29.83</v>
      </c>
    </row>
    <row r="84" spans="1:9" x14ac:dyDescent="0.35">
      <c r="A84">
        <v>2556</v>
      </c>
      <c r="B84" t="s">
        <v>19</v>
      </c>
      <c r="C84">
        <v>21871.22</v>
      </c>
      <c r="D84">
        <v>823.02</v>
      </c>
      <c r="E84">
        <v>22694.23</v>
      </c>
      <c r="F84">
        <v>22194.23</v>
      </c>
      <c r="G84">
        <v>22294.23</v>
      </c>
      <c r="H84">
        <v>1592.93</v>
      </c>
      <c r="I84">
        <v>29.52</v>
      </c>
    </row>
    <row r="85" spans="1:9" x14ac:dyDescent="0.35">
      <c r="A85">
        <v>2556</v>
      </c>
      <c r="B85" t="s">
        <v>20</v>
      </c>
      <c r="C85">
        <v>20231.02</v>
      </c>
      <c r="D85">
        <v>798.53</v>
      </c>
      <c r="E85">
        <v>21029.55</v>
      </c>
      <c r="F85">
        <v>20529.55</v>
      </c>
      <c r="G85">
        <v>20629.55</v>
      </c>
      <c r="H85">
        <v>1501.3</v>
      </c>
      <c r="I85">
        <v>29.08</v>
      </c>
    </row>
    <row r="86" spans="1:9" x14ac:dyDescent="0.35">
      <c r="A86">
        <v>2556</v>
      </c>
      <c r="B86" t="s">
        <v>9</v>
      </c>
      <c r="C86">
        <v>19615.78</v>
      </c>
      <c r="D86">
        <v>790.47</v>
      </c>
      <c r="E86">
        <v>20406.25</v>
      </c>
      <c r="F86">
        <v>19906.25</v>
      </c>
      <c r="G86">
        <v>20006.25</v>
      </c>
      <c r="H86">
        <v>1414.08</v>
      </c>
      <c r="I86">
        <v>29.8</v>
      </c>
    </row>
    <row r="87" spans="1:9" x14ac:dyDescent="0.35">
      <c r="A87">
        <v>2556</v>
      </c>
      <c r="B87" t="s">
        <v>10</v>
      </c>
      <c r="C87">
        <v>19255.02</v>
      </c>
      <c r="D87">
        <v>782.98</v>
      </c>
      <c r="E87">
        <v>20038</v>
      </c>
      <c r="F87">
        <v>19538</v>
      </c>
      <c r="G87">
        <v>19638</v>
      </c>
      <c r="H87">
        <v>1343.05</v>
      </c>
      <c r="I87">
        <v>30.83</v>
      </c>
    </row>
    <row r="88" spans="1:9" x14ac:dyDescent="0.35">
      <c r="A88">
        <v>2556</v>
      </c>
      <c r="B88" t="s">
        <v>11</v>
      </c>
      <c r="C88">
        <v>18600.150000000001</v>
      </c>
      <c r="D88">
        <v>772.92</v>
      </c>
      <c r="E88">
        <v>19373.080000000002</v>
      </c>
      <c r="F88">
        <v>18873.080000000002</v>
      </c>
      <c r="G88">
        <v>18973.080000000002</v>
      </c>
      <c r="H88">
        <v>1284.1600000000001</v>
      </c>
      <c r="I88">
        <v>31.14</v>
      </c>
    </row>
    <row r="89" spans="1:9" x14ac:dyDescent="0.35">
      <c r="A89">
        <v>2556</v>
      </c>
      <c r="B89" t="s">
        <v>12</v>
      </c>
      <c r="C89">
        <v>19857.849999999999</v>
      </c>
      <c r="D89">
        <v>792.15</v>
      </c>
      <c r="E89">
        <v>20650</v>
      </c>
      <c r="F89">
        <v>20150</v>
      </c>
      <c r="G89">
        <v>20250</v>
      </c>
      <c r="H89">
        <v>1350</v>
      </c>
      <c r="I89">
        <v>31.62</v>
      </c>
    </row>
    <row r="90" spans="1:9" x14ac:dyDescent="0.35">
      <c r="A90">
        <v>2556</v>
      </c>
      <c r="B90" t="s">
        <v>13</v>
      </c>
      <c r="C90">
        <v>19884.46</v>
      </c>
      <c r="D90">
        <v>791.54</v>
      </c>
      <c r="E90">
        <v>20676</v>
      </c>
      <c r="F90">
        <v>20176</v>
      </c>
      <c r="G90">
        <v>20276</v>
      </c>
      <c r="H90">
        <v>1350.5</v>
      </c>
      <c r="I90">
        <v>31.7</v>
      </c>
    </row>
    <row r="91" spans="1:9" x14ac:dyDescent="0.35">
      <c r="A91">
        <v>2556</v>
      </c>
      <c r="B91" t="s">
        <v>14</v>
      </c>
      <c r="C91">
        <v>19071.86</v>
      </c>
      <c r="D91">
        <v>780.06</v>
      </c>
      <c r="E91">
        <v>19851.919999999998</v>
      </c>
      <c r="F91">
        <v>19351.919999999998</v>
      </c>
      <c r="G91">
        <v>19451.919999999998</v>
      </c>
      <c r="H91">
        <v>1315.23</v>
      </c>
      <c r="I91">
        <v>31.22</v>
      </c>
    </row>
    <row r="92" spans="1:9" x14ac:dyDescent="0.35">
      <c r="A92">
        <v>2556</v>
      </c>
      <c r="B92" t="s">
        <v>15</v>
      </c>
      <c r="C92">
        <v>18811.810000000001</v>
      </c>
      <c r="D92">
        <v>776.65</v>
      </c>
      <c r="E92">
        <v>19588.46</v>
      </c>
      <c r="F92">
        <v>19088.46</v>
      </c>
      <c r="G92">
        <v>19188.46</v>
      </c>
      <c r="H92">
        <v>1278.55</v>
      </c>
      <c r="I92">
        <v>31.65</v>
      </c>
    </row>
    <row r="93" spans="1:9" x14ac:dyDescent="0.35">
      <c r="A93">
        <v>2556</v>
      </c>
      <c r="B93" t="s">
        <v>16</v>
      </c>
      <c r="C93">
        <v>18399.82</v>
      </c>
      <c r="D93">
        <v>771.02</v>
      </c>
      <c r="E93">
        <v>19170.830000000002</v>
      </c>
      <c r="F93">
        <v>18670.830000000002</v>
      </c>
      <c r="G93">
        <v>18770.830000000002</v>
      </c>
      <c r="H93">
        <v>1223.24</v>
      </c>
      <c r="I93">
        <v>32.369999999999997</v>
      </c>
    </row>
    <row r="94" spans="1:9" x14ac:dyDescent="0.35">
      <c r="A94">
        <v>2557</v>
      </c>
      <c r="B94" t="s">
        <v>17</v>
      </c>
      <c r="C94">
        <v>19045.04</v>
      </c>
      <c r="D94">
        <v>779.96</v>
      </c>
      <c r="E94">
        <v>19825</v>
      </c>
      <c r="F94">
        <v>19325</v>
      </c>
      <c r="G94">
        <v>19425</v>
      </c>
      <c r="H94">
        <v>1243.95</v>
      </c>
      <c r="I94">
        <v>32.94</v>
      </c>
    </row>
    <row r="95" spans="1:9" x14ac:dyDescent="0.35">
      <c r="A95">
        <v>2557</v>
      </c>
      <c r="B95" t="s">
        <v>18</v>
      </c>
      <c r="C95">
        <v>19668.45</v>
      </c>
      <c r="D95">
        <v>790.24</v>
      </c>
      <c r="E95">
        <v>20458.7</v>
      </c>
      <c r="F95">
        <v>19958.7</v>
      </c>
      <c r="G95">
        <v>20058.7</v>
      </c>
      <c r="H95">
        <v>1298.6099999999999</v>
      </c>
      <c r="I95">
        <v>32.659999999999997</v>
      </c>
    </row>
    <row r="96" spans="1:9" x14ac:dyDescent="0.35">
      <c r="A96">
        <v>2557</v>
      </c>
      <c r="B96" t="s">
        <v>19</v>
      </c>
      <c r="C96">
        <v>20127.82</v>
      </c>
      <c r="D96">
        <v>795.26</v>
      </c>
      <c r="E96">
        <v>20923.080000000002</v>
      </c>
      <c r="F96">
        <v>20423.080000000002</v>
      </c>
      <c r="G96">
        <v>20523.080000000002</v>
      </c>
      <c r="H96">
        <v>1337.26</v>
      </c>
      <c r="I96">
        <v>32.4</v>
      </c>
    </row>
    <row r="97" spans="1:9" x14ac:dyDescent="0.35">
      <c r="A97">
        <v>2557</v>
      </c>
      <c r="B97" t="s">
        <v>20</v>
      </c>
      <c r="C97">
        <v>19504.599999999999</v>
      </c>
      <c r="D97">
        <v>787.06</v>
      </c>
      <c r="E97">
        <v>20291.669999999998</v>
      </c>
      <c r="F97">
        <v>19791.669999999998</v>
      </c>
      <c r="G97">
        <v>19891.669999999998</v>
      </c>
      <c r="H97">
        <v>1296.5</v>
      </c>
      <c r="I97">
        <v>32.32</v>
      </c>
    </row>
    <row r="98" spans="1:9" x14ac:dyDescent="0.35">
      <c r="A98">
        <v>2557</v>
      </c>
      <c r="B98" t="s">
        <v>9</v>
      </c>
      <c r="C98">
        <v>19492.599999999999</v>
      </c>
      <c r="D98">
        <v>788.65</v>
      </c>
      <c r="E98">
        <v>20281.25</v>
      </c>
      <c r="F98">
        <v>19781.25</v>
      </c>
      <c r="G98">
        <v>19881.25</v>
      </c>
      <c r="H98">
        <v>1290.0899999999999</v>
      </c>
      <c r="I98">
        <v>32.54</v>
      </c>
    </row>
    <row r="99" spans="1:9" x14ac:dyDescent="0.35">
      <c r="A99">
        <v>2557</v>
      </c>
      <c r="B99" t="s">
        <v>10</v>
      </c>
      <c r="C99">
        <v>19336.28</v>
      </c>
      <c r="D99">
        <v>783.72</v>
      </c>
      <c r="E99">
        <v>20120</v>
      </c>
      <c r="F99">
        <v>19620</v>
      </c>
      <c r="G99">
        <v>19720</v>
      </c>
      <c r="H99">
        <v>1278.21</v>
      </c>
      <c r="I99">
        <v>32.520000000000003</v>
      </c>
    </row>
    <row r="100" spans="1:9" x14ac:dyDescent="0.35">
      <c r="A100">
        <v>2557</v>
      </c>
      <c r="B100" t="s">
        <v>11</v>
      </c>
      <c r="C100">
        <v>19587.330000000002</v>
      </c>
      <c r="D100">
        <v>788.67</v>
      </c>
      <c r="E100">
        <v>20376</v>
      </c>
      <c r="F100">
        <v>19876</v>
      </c>
      <c r="G100">
        <v>19976</v>
      </c>
      <c r="H100">
        <v>1311.98</v>
      </c>
      <c r="I100">
        <v>32.159999999999997</v>
      </c>
    </row>
    <row r="101" spans="1:9" x14ac:dyDescent="0.35">
      <c r="A101">
        <v>2557</v>
      </c>
      <c r="B101" t="s">
        <v>12</v>
      </c>
      <c r="C101">
        <v>19278.669999999998</v>
      </c>
      <c r="D101">
        <v>783.33</v>
      </c>
      <c r="E101">
        <v>20062</v>
      </c>
      <c r="F101">
        <v>19562</v>
      </c>
      <c r="G101">
        <v>19662</v>
      </c>
      <c r="H101">
        <v>1295.05</v>
      </c>
      <c r="I101">
        <v>32.020000000000003</v>
      </c>
    </row>
    <row r="102" spans="1:9" x14ac:dyDescent="0.35">
      <c r="A102">
        <v>2557</v>
      </c>
      <c r="B102" t="s">
        <v>13</v>
      </c>
      <c r="C102">
        <v>18575.080000000002</v>
      </c>
      <c r="D102">
        <v>774.92</v>
      </c>
      <c r="E102">
        <v>19350</v>
      </c>
      <c r="F102">
        <v>18850</v>
      </c>
      <c r="G102">
        <v>18950</v>
      </c>
      <c r="H102">
        <v>1241.8499999999999</v>
      </c>
      <c r="I102">
        <v>32.200000000000003</v>
      </c>
    </row>
    <row r="103" spans="1:9" x14ac:dyDescent="0.35">
      <c r="A103">
        <v>2557</v>
      </c>
      <c r="B103" t="s">
        <v>14</v>
      </c>
      <c r="C103">
        <v>18462.55</v>
      </c>
      <c r="D103">
        <v>772.07</v>
      </c>
      <c r="E103">
        <v>19234.62</v>
      </c>
      <c r="F103">
        <v>18734.62</v>
      </c>
      <c r="G103">
        <v>18834.62</v>
      </c>
      <c r="H103">
        <v>1222.98</v>
      </c>
      <c r="I103">
        <v>32.479999999999997</v>
      </c>
    </row>
    <row r="104" spans="1:9" x14ac:dyDescent="0.35">
      <c r="A104">
        <v>2557</v>
      </c>
      <c r="B104" t="s">
        <v>15</v>
      </c>
      <c r="C104">
        <v>17947.009999999998</v>
      </c>
      <c r="D104">
        <v>762.99</v>
      </c>
      <c r="E104">
        <v>18710</v>
      </c>
      <c r="F104">
        <v>18210</v>
      </c>
      <c r="G104">
        <v>18310</v>
      </c>
      <c r="H104">
        <v>1175.98</v>
      </c>
      <c r="I104">
        <v>32.81</v>
      </c>
    </row>
    <row r="105" spans="1:9" x14ac:dyDescent="0.35">
      <c r="A105">
        <v>2557</v>
      </c>
      <c r="B105" t="s">
        <v>16</v>
      </c>
      <c r="C105">
        <v>18341.78</v>
      </c>
      <c r="D105">
        <v>770.22</v>
      </c>
      <c r="E105">
        <v>19112</v>
      </c>
      <c r="F105">
        <v>18612</v>
      </c>
      <c r="G105">
        <v>18712</v>
      </c>
      <c r="H105">
        <v>1199.26</v>
      </c>
      <c r="I105">
        <v>32.92</v>
      </c>
    </row>
    <row r="106" spans="1:9" x14ac:dyDescent="0.35">
      <c r="A106">
        <v>2558</v>
      </c>
      <c r="B106" t="s">
        <v>17</v>
      </c>
      <c r="C106">
        <v>19026.97</v>
      </c>
      <c r="D106">
        <v>780.73</v>
      </c>
      <c r="E106">
        <v>19807.689999999999</v>
      </c>
      <c r="F106">
        <v>19307.689999999999</v>
      </c>
      <c r="G106">
        <v>19407.689999999999</v>
      </c>
      <c r="H106">
        <v>1250.1199999999999</v>
      </c>
      <c r="I106">
        <v>32.74</v>
      </c>
    </row>
    <row r="107" spans="1:9" x14ac:dyDescent="0.35">
      <c r="A107">
        <v>2558</v>
      </c>
      <c r="B107" t="s">
        <v>18</v>
      </c>
      <c r="C107">
        <v>18629.75</v>
      </c>
      <c r="D107">
        <v>772.34</v>
      </c>
      <c r="E107">
        <v>19402.080000000002</v>
      </c>
      <c r="F107">
        <v>18902.080000000002</v>
      </c>
      <c r="G107">
        <v>19002.080000000002</v>
      </c>
      <c r="H107">
        <v>1231.78</v>
      </c>
      <c r="I107">
        <v>32.590000000000003</v>
      </c>
    </row>
    <row r="108" spans="1:9" x14ac:dyDescent="0.35">
      <c r="A108">
        <v>2558</v>
      </c>
      <c r="B108" t="s">
        <v>19</v>
      </c>
      <c r="C108">
        <v>17907.599999999999</v>
      </c>
      <c r="D108">
        <v>764.4</v>
      </c>
      <c r="E108">
        <v>18672</v>
      </c>
      <c r="F108">
        <v>18172</v>
      </c>
      <c r="G108">
        <v>18272</v>
      </c>
      <c r="H108">
        <v>1180.07</v>
      </c>
      <c r="I108">
        <v>32.65</v>
      </c>
    </row>
    <row r="109" spans="1:9" x14ac:dyDescent="0.35">
      <c r="A109">
        <v>2558</v>
      </c>
      <c r="B109" t="s">
        <v>20</v>
      </c>
      <c r="C109">
        <v>18128.599999999999</v>
      </c>
      <c r="D109">
        <v>766.85</v>
      </c>
      <c r="E109">
        <v>18895.45</v>
      </c>
      <c r="F109">
        <v>18395.45</v>
      </c>
      <c r="G109">
        <v>18495.45</v>
      </c>
      <c r="H109">
        <v>1200.25</v>
      </c>
      <c r="I109">
        <v>32.54</v>
      </c>
    </row>
    <row r="110" spans="1:9" x14ac:dyDescent="0.35">
      <c r="A110">
        <v>2558</v>
      </c>
      <c r="B110" t="s">
        <v>9</v>
      </c>
      <c r="C110">
        <v>18680.28</v>
      </c>
      <c r="D110">
        <v>773.89</v>
      </c>
      <c r="E110">
        <v>19454.169999999998</v>
      </c>
      <c r="F110">
        <v>18954.169999999998</v>
      </c>
      <c r="G110">
        <v>19054.169999999998</v>
      </c>
      <c r="H110">
        <v>1199.79</v>
      </c>
      <c r="I110">
        <v>33.58</v>
      </c>
    </row>
    <row r="111" spans="1:9" x14ac:dyDescent="0.35">
      <c r="A111">
        <v>2558</v>
      </c>
      <c r="B111" t="s">
        <v>10</v>
      </c>
      <c r="C111">
        <v>18547.349999999999</v>
      </c>
      <c r="D111">
        <v>772.65</v>
      </c>
      <c r="E111">
        <v>19320</v>
      </c>
      <c r="F111">
        <v>18820</v>
      </c>
      <c r="G111">
        <v>18920</v>
      </c>
      <c r="H111">
        <v>1183.67</v>
      </c>
      <c r="I111">
        <v>33.74</v>
      </c>
    </row>
    <row r="112" spans="1:9" x14ac:dyDescent="0.35">
      <c r="A112">
        <v>2558</v>
      </c>
      <c r="B112" t="s">
        <v>11</v>
      </c>
      <c r="C112">
        <v>18107.45</v>
      </c>
      <c r="D112">
        <v>765.62</v>
      </c>
      <c r="E112">
        <v>18873.080000000002</v>
      </c>
      <c r="F112">
        <v>18373.080000000002</v>
      </c>
      <c r="G112">
        <v>18473.080000000002</v>
      </c>
      <c r="H112">
        <v>1135.3</v>
      </c>
      <c r="I112">
        <v>34.33</v>
      </c>
    </row>
    <row r="113" spans="1:9" x14ac:dyDescent="0.35">
      <c r="A113">
        <v>2558</v>
      </c>
      <c r="B113" t="s">
        <v>12</v>
      </c>
      <c r="C113">
        <v>18399.39</v>
      </c>
      <c r="D113">
        <v>770.61</v>
      </c>
      <c r="E113">
        <v>19170</v>
      </c>
      <c r="F113">
        <v>18670</v>
      </c>
      <c r="G113">
        <v>18770</v>
      </c>
      <c r="H113">
        <v>1118.6300000000001</v>
      </c>
      <c r="I113">
        <v>35.44</v>
      </c>
    </row>
    <row r="114" spans="1:9" x14ac:dyDescent="0.35">
      <c r="A114">
        <v>2558</v>
      </c>
      <c r="B114" t="s">
        <v>13</v>
      </c>
      <c r="C114">
        <v>18822.310000000001</v>
      </c>
      <c r="D114">
        <v>777.69</v>
      </c>
      <c r="E114">
        <v>19600</v>
      </c>
      <c r="F114">
        <v>19100</v>
      </c>
      <c r="G114">
        <v>19200</v>
      </c>
      <c r="H114">
        <v>1125.55</v>
      </c>
      <c r="I114">
        <v>36.03</v>
      </c>
    </row>
    <row r="115" spans="1:9" x14ac:dyDescent="0.35">
      <c r="A115">
        <v>2558</v>
      </c>
      <c r="B115" t="s">
        <v>14</v>
      </c>
      <c r="C115">
        <v>19183.810000000001</v>
      </c>
      <c r="D115">
        <v>781.57</v>
      </c>
      <c r="E115">
        <v>19965.38</v>
      </c>
      <c r="F115">
        <v>19465.38</v>
      </c>
      <c r="G115">
        <v>19565.38</v>
      </c>
      <c r="H115">
        <v>1157.1199999999999</v>
      </c>
      <c r="I115">
        <v>35.72</v>
      </c>
    </row>
    <row r="116" spans="1:9" x14ac:dyDescent="0.35">
      <c r="A116">
        <v>2558</v>
      </c>
      <c r="B116" t="s">
        <v>15</v>
      </c>
      <c r="C116">
        <v>18127.12</v>
      </c>
      <c r="D116">
        <v>766.88</v>
      </c>
      <c r="E116">
        <v>18894</v>
      </c>
      <c r="F116">
        <v>18394</v>
      </c>
      <c r="G116">
        <v>18494</v>
      </c>
      <c r="H116">
        <v>1089.79</v>
      </c>
      <c r="I116">
        <v>35.81</v>
      </c>
    </row>
    <row r="117" spans="1:9" x14ac:dyDescent="0.35">
      <c r="A117">
        <v>2558</v>
      </c>
      <c r="B117" t="s">
        <v>16</v>
      </c>
      <c r="C117">
        <v>17917.91</v>
      </c>
      <c r="D117">
        <v>764.09</v>
      </c>
      <c r="E117">
        <v>18682</v>
      </c>
      <c r="F117">
        <v>18182</v>
      </c>
      <c r="G117">
        <v>18282</v>
      </c>
      <c r="H117">
        <v>1070.4100000000001</v>
      </c>
      <c r="I117">
        <v>36.020000000000003</v>
      </c>
    </row>
    <row r="118" spans="1:9" x14ac:dyDescent="0.35">
      <c r="A118">
        <v>2559</v>
      </c>
      <c r="B118" t="s">
        <v>17</v>
      </c>
      <c r="C118">
        <v>18395.75</v>
      </c>
      <c r="D118">
        <v>772.25</v>
      </c>
      <c r="E118">
        <v>19168</v>
      </c>
      <c r="F118">
        <v>18668</v>
      </c>
      <c r="G118">
        <v>18768</v>
      </c>
      <c r="H118">
        <v>1096.6300000000001</v>
      </c>
      <c r="I118">
        <v>36.17</v>
      </c>
    </row>
    <row r="119" spans="1:9" x14ac:dyDescent="0.35">
      <c r="A119">
        <v>2559</v>
      </c>
      <c r="B119" t="s">
        <v>18</v>
      </c>
      <c r="C119">
        <v>19786.96</v>
      </c>
      <c r="D119">
        <v>790.13</v>
      </c>
      <c r="E119">
        <v>20577.080000000002</v>
      </c>
      <c r="F119">
        <v>20077.080000000002</v>
      </c>
      <c r="G119">
        <v>20177.080000000002</v>
      </c>
      <c r="H119">
        <v>1194.08</v>
      </c>
      <c r="I119">
        <v>35.61</v>
      </c>
    </row>
    <row r="120" spans="1:9" x14ac:dyDescent="0.35">
      <c r="A120">
        <v>2559</v>
      </c>
      <c r="B120" t="s">
        <v>19</v>
      </c>
      <c r="C120">
        <v>20364.37</v>
      </c>
      <c r="D120">
        <v>800.44</v>
      </c>
      <c r="E120">
        <v>21164.81</v>
      </c>
      <c r="F120">
        <v>20664.810000000001</v>
      </c>
      <c r="G120">
        <v>20764.810000000001</v>
      </c>
      <c r="H120">
        <v>1244.03</v>
      </c>
      <c r="I120">
        <v>35.25</v>
      </c>
    </row>
    <row r="121" spans="1:9" x14ac:dyDescent="0.35">
      <c r="A121">
        <v>2559</v>
      </c>
      <c r="B121" t="s">
        <v>20</v>
      </c>
      <c r="C121">
        <v>20264.79</v>
      </c>
      <c r="D121">
        <v>798.85</v>
      </c>
      <c r="E121">
        <v>21063.64</v>
      </c>
      <c r="F121">
        <v>20563.64</v>
      </c>
      <c r="G121">
        <v>20663.64</v>
      </c>
      <c r="H121">
        <v>1244.0899999999999</v>
      </c>
      <c r="I121">
        <v>35.090000000000003</v>
      </c>
    </row>
    <row r="122" spans="1:9" x14ac:dyDescent="0.35">
      <c r="A122">
        <v>2559</v>
      </c>
      <c r="B122" t="s">
        <v>9</v>
      </c>
      <c r="C122">
        <v>20646.71</v>
      </c>
      <c r="D122">
        <v>979.29</v>
      </c>
      <c r="E122">
        <v>21626</v>
      </c>
      <c r="F122">
        <v>21026</v>
      </c>
      <c r="G122">
        <v>21126</v>
      </c>
      <c r="H122">
        <v>1259.55</v>
      </c>
      <c r="I122">
        <v>35.479999999999997</v>
      </c>
    </row>
    <row r="123" spans="1:9" x14ac:dyDescent="0.35">
      <c r="A123">
        <v>2559</v>
      </c>
      <c r="B123" t="s">
        <v>10</v>
      </c>
      <c r="C123">
        <v>20825.18</v>
      </c>
      <c r="D123">
        <v>980.59</v>
      </c>
      <c r="E123">
        <v>21805.77</v>
      </c>
      <c r="F123">
        <v>21205.77</v>
      </c>
      <c r="G123">
        <v>21305.77</v>
      </c>
      <c r="H123">
        <v>1273.8</v>
      </c>
      <c r="I123">
        <v>35.31</v>
      </c>
    </row>
    <row r="124" spans="1:9" x14ac:dyDescent="0.35">
      <c r="A124">
        <v>2559</v>
      </c>
      <c r="B124" t="s">
        <v>11</v>
      </c>
      <c r="C124">
        <v>21727.31</v>
      </c>
      <c r="D124">
        <v>998.69</v>
      </c>
      <c r="E124">
        <v>22726</v>
      </c>
      <c r="F124">
        <v>22126</v>
      </c>
      <c r="G124">
        <v>22226</v>
      </c>
      <c r="H124">
        <v>1338.29</v>
      </c>
      <c r="I124">
        <v>35.07</v>
      </c>
    </row>
    <row r="125" spans="1:9" x14ac:dyDescent="0.35">
      <c r="A125">
        <v>2559</v>
      </c>
      <c r="B125" t="s">
        <v>12</v>
      </c>
      <c r="C125">
        <v>21555.19</v>
      </c>
      <c r="D125">
        <v>994.81</v>
      </c>
      <c r="E125">
        <v>22550</v>
      </c>
      <c r="F125">
        <v>21950</v>
      </c>
      <c r="G125">
        <v>22050</v>
      </c>
      <c r="H125">
        <v>1340.61</v>
      </c>
      <c r="I125">
        <v>34.74</v>
      </c>
    </row>
    <row r="126" spans="1:9" x14ac:dyDescent="0.35">
      <c r="A126">
        <v>2559</v>
      </c>
      <c r="B126" t="s">
        <v>13</v>
      </c>
      <c r="C126">
        <v>21343.53</v>
      </c>
      <c r="D126">
        <v>993.01</v>
      </c>
      <c r="E126">
        <v>22336.54</v>
      </c>
      <c r="F126">
        <v>21736.54</v>
      </c>
      <c r="G126">
        <v>21836.54</v>
      </c>
      <c r="H126">
        <v>1326.75</v>
      </c>
      <c r="I126">
        <v>34.75</v>
      </c>
    </row>
    <row r="127" spans="1:9" x14ac:dyDescent="0.35">
      <c r="A127">
        <v>2559</v>
      </c>
      <c r="B127" t="s">
        <v>14</v>
      </c>
      <c r="C127">
        <v>20623.060000000001</v>
      </c>
      <c r="D127">
        <v>976.94</v>
      </c>
      <c r="E127">
        <v>21600</v>
      </c>
      <c r="F127">
        <v>21000</v>
      </c>
      <c r="G127">
        <v>21100</v>
      </c>
      <c r="H127">
        <v>1269.48</v>
      </c>
      <c r="I127">
        <v>35.08</v>
      </c>
    </row>
    <row r="128" spans="1:9" x14ac:dyDescent="0.35">
      <c r="A128">
        <v>2559</v>
      </c>
      <c r="B128" t="s">
        <v>15</v>
      </c>
      <c r="C128">
        <v>20289.330000000002</v>
      </c>
      <c r="D128">
        <v>972.21</v>
      </c>
      <c r="E128">
        <v>21261.54</v>
      </c>
      <c r="F128">
        <v>20661.54</v>
      </c>
      <c r="G128">
        <v>20761.54</v>
      </c>
      <c r="H128">
        <v>1241</v>
      </c>
      <c r="I128">
        <v>35.35</v>
      </c>
    </row>
    <row r="129" spans="1:9" x14ac:dyDescent="0.35">
      <c r="A129">
        <v>2559</v>
      </c>
      <c r="B129" t="s">
        <v>16</v>
      </c>
      <c r="C129">
        <v>19121</v>
      </c>
      <c r="D129">
        <v>951</v>
      </c>
      <c r="E129">
        <v>20072</v>
      </c>
      <c r="F129">
        <v>19472</v>
      </c>
      <c r="G129">
        <v>19572</v>
      </c>
      <c r="H129">
        <v>1151.76</v>
      </c>
      <c r="I129">
        <v>35.840000000000003</v>
      </c>
    </row>
    <row r="130" spans="1:9" x14ac:dyDescent="0.35">
      <c r="A130">
        <v>2560</v>
      </c>
      <c r="B130" t="s">
        <v>17</v>
      </c>
      <c r="C130">
        <v>19597.64</v>
      </c>
      <c r="D130">
        <v>958.36</v>
      </c>
      <c r="E130">
        <v>20556</v>
      </c>
      <c r="F130">
        <v>19956</v>
      </c>
      <c r="G130">
        <v>20056</v>
      </c>
      <c r="H130">
        <v>1193.48</v>
      </c>
      <c r="I130">
        <v>35.450000000000003</v>
      </c>
    </row>
    <row r="131" spans="1:9" x14ac:dyDescent="0.35">
      <c r="A131">
        <v>2560</v>
      </c>
      <c r="B131" t="s">
        <v>18</v>
      </c>
      <c r="C131">
        <v>19998.02</v>
      </c>
      <c r="D131">
        <v>967.2</v>
      </c>
      <c r="E131">
        <v>20965.22</v>
      </c>
      <c r="F131">
        <v>20365.22</v>
      </c>
      <c r="G131">
        <v>20465.22</v>
      </c>
      <c r="H131">
        <v>1233.79</v>
      </c>
      <c r="I131">
        <v>35.020000000000003</v>
      </c>
    </row>
    <row r="132" spans="1:9" x14ac:dyDescent="0.35">
      <c r="A132">
        <v>2560</v>
      </c>
      <c r="B132" t="s">
        <v>19</v>
      </c>
      <c r="C132">
        <v>19894.97</v>
      </c>
      <c r="D132">
        <v>966.14</v>
      </c>
      <c r="E132">
        <v>20861.11</v>
      </c>
      <c r="F132">
        <v>20261.11</v>
      </c>
      <c r="G132">
        <v>20361.11</v>
      </c>
      <c r="H132">
        <v>1231.5</v>
      </c>
      <c r="I132">
        <v>34.909999999999997</v>
      </c>
    </row>
    <row r="133" spans="1:9" x14ac:dyDescent="0.35">
      <c r="A133">
        <v>2560</v>
      </c>
      <c r="B133" t="s">
        <v>20</v>
      </c>
      <c r="C133">
        <v>20231.38</v>
      </c>
      <c r="D133">
        <v>971</v>
      </c>
      <c r="E133">
        <v>21202.38</v>
      </c>
      <c r="F133">
        <v>20602.38</v>
      </c>
      <c r="G133">
        <v>20702.38</v>
      </c>
      <c r="H133">
        <v>1268.95</v>
      </c>
      <c r="I133">
        <v>34.479999999999997</v>
      </c>
    </row>
    <row r="134" spans="1:9" x14ac:dyDescent="0.35">
      <c r="A134">
        <v>2560</v>
      </c>
      <c r="B134" t="s">
        <v>9</v>
      </c>
      <c r="C134">
        <v>19906.759999999998</v>
      </c>
      <c r="D134">
        <v>965.46</v>
      </c>
      <c r="E134">
        <v>20872.22</v>
      </c>
      <c r="F134">
        <v>20272.22</v>
      </c>
      <c r="G134">
        <v>20372.22</v>
      </c>
      <c r="H134">
        <v>1247.33</v>
      </c>
      <c r="I134">
        <v>34.479999999999997</v>
      </c>
    </row>
    <row r="135" spans="1:9" x14ac:dyDescent="0.35">
      <c r="A135">
        <v>2560</v>
      </c>
      <c r="B135" t="s">
        <v>10</v>
      </c>
      <c r="C135">
        <v>19888.75</v>
      </c>
      <c r="D135">
        <v>965.09</v>
      </c>
      <c r="E135">
        <v>20853.849999999999</v>
      </c>
      <c r="F135">
        <v>20253.849999999999</v>
      </c>
      <c r="G135">
        <v>20353.849999999999</v>
      </c>
      <c r="H135">
        <v>1262.3</v>
      </c>
      <c r="I135">
        <v>34.020000000000003</v>
      </c>
    </row>
    <row r="136" spans="1:9" x14ac:dyDescent="0.35">
      <c r="A136">
        <v>2560</v>
      </c>
      <c r="B136" t="s">
        <v>11</v>
      </c>
      <c r="C136">
        <v>19340.080000000002</v>
      </c>
      <c r="D136">
        <v>954.15</v>
      </c>
      <c r="E136">
        <v>20294.23</v>
      </c>
      <c r="F136">
        <v>19694.23</v>
      </c>
      <c r="G136">
        <v>19794.23</v>
      </c>
      <c r="H136">
        <v>1235.3</v>
      </c>
      <c r="I136">
        <v>33.78</v>
      </c>
    </row>
    <row r="137" spans="1:9" x14ac:dyDescent="0.35">
      <c r="A137">
        <v>2560</v>
      </c>
      <c r="B137" t="s">
        <v>12</v>
      </c>
      <c r="C137">
        <v>19734.39</v>
      </c>
      <c r="D137">
        <v>961.91</v>
      </c>
      <c r="E137">
        <v>20696.3</v>
      </c>
      <c r="F137">
        <v>20096.3</v>
      </c>
      <c r="G137">
        <v>20196.3</v>
      </c>
      <c r="H137">
        <v>1282.3900000000001</v>
      </c>
      <c r="I137">
        <v>33.270000000000003</v>
      </c>
    </row>
    <row r="138" spans="1:9" x14ac:dyDescent="0.35">
      <c r="A138">
        <v>2560</v>
      </c>
      <c r="B138" t="s">
        <v>13</v>
      </c>
      <c r="C138">
        <v>20200.7</v>
      </c>
      <c r="D138">
        <v>968.53</v>
      </c>
      <c r="E138">
        <v>21169.23</v>
      </c>
      <c r="F138">
        <v>20569.23</v>
      </c>
      <c r="G138">
        <v>20669.23</v>
      </c>
      <c r="H138">
        <v>1316.97</v>
      </c>
      <c r="I138">
        <v>33.159999999999997</v>
      </c>
    </row>
    <row r="139" spans="1:9" x14ac:dyDescent="0.35">
      <c r="A139">
        <v>2560</v>
      </c>
      <c r="B139" t="s">
        <v>14</v>
      </c>
      <c r="C139">
        <v>19731.91</v>
      </c>
      <c r="D139">
        <v>960.4</v>
      </c>
      <c r="E139">
        <v>20692.310000000001</v>
      </c>
      <c r="F139">
        <v>20092.310000000001</v>
      </c>
      <c r="G139">
        <v>20192.310000000001</v>
      </c>
      <c r="H139">
        <v>1281.3900000000001</v>
      </c>
      <c r="I139">
        <v>33.270000000000003</v>
      </c>
    </row>
    <row r="140" spans="1:9" x14ac:dyDescent="0.35">
      <c r="A140">
        <v>2560</v>
      </c>
      <c r="B140" t="s">
        <v>15</v>
      </c>
      <c r="C140">
        <v>19565.150000000001</v>
      </c>
      <c r="D140">
        <v>957.93</v>
      </c>
      <c r="E140">
        <v>20523.080000000002</v>
      </c>
      <c r="F140">
        <v>19923.080000000002</v>
      </c>
      <c r="G140">
        <v>20023.080000000002</v>
      </c>
      <c r="H140">
        <v>1282.8599999999999</v>
      </c>
      <c r="I140">
        <v>32.94</v>
      </c>
    </row>
    <row r="141" spans="1:9" x14ac:dyDescent="0.35">
      <c r="A141">
        <v>2560</v>
      </c>
      <c r="B141" t="s">
        <v>16</v>
      </c>
      <c r="C141">
        <v>19184.400000000001</v>
      </c>
      <c r="D141">
        <v>952.14</v>
      </c>
      <c r="E141">
        <v>20136.54</v>
      </c>
      <c r="F141">
        <v>19536.54</v>
      </c>
      <c r="G141">
        <v>19636.54</v>
      </c>
      <c r="H141">
        <v>1266.55</v>
      </c>
      <c r="I141">
        <v>32.700000000000003</v>
      </c>
    </row>
    <row r="142" spans="1:9" x14ac:dyDescent="0.35">
      <c r="A142">
        <v>2561</v>
      </c>
      <c r="B142" t="s">
        <v>17</v>
      </c>
      <c r="C142">
        <v>19674.310000000001</v>
      </c>
      <c r="D142">
        <v>959.02</v>
      </c>
      <c r="E142">
        <v>20633.330000000002</v>
      </c>
      <c r="F142">
        <v>20033.330000000002</v>
      </c>
      <c r="G142">
        <v>20133.330000000002</v>
      </c>
      <c r="H142">
        <v>1331.27</v>
      </c>
      <c r="I142">
        <v>31.9</v>
      </c>
    </row>
    <row r="143" spans="1:9" x14ac:dyDescent="0.35">
      <c r="A143">
        <v>2561</v>
      </c>
      <c r="B143" t="s">
        <v>18</v>
      </c>
      <c r="C143">
        <v>19455.330000000002</v>
      </c>
      <c r="D143">
        <v>957.17</v>
      </c>
      <c r="E143">
        <v>20412.5</v>
      </c>
      <c r="F143">
        <v>19812.5</v>
      </c>
      <c r="G143">
        <v>19912.5</v>
      </c>
      <c r="H143">
        <v>1335.04</v>
      </c>
      <c r="I143">
        <v>31.48</v>
      </c>
    </row>
    <row r="144" spans="1:9" x14ac:dyDescent="0.35">
      <c r="A144">
        <v>2561</v>
      </c>
      <c r="B144" t="s">
        <v>19</v>
      </c>
      <c r="C144">
        <v>19217.830000000002</v>
      </c>
      <c r="D144">
        <v>952.54</v>
      </c>
      <c r="E144">
        <v>20170.37</v>
      </c>
      <c r="F144">
        <v>19570.37</v>
      </c>
      <c r="G144">
        <v>19670.37</v>
      </c>
      <c r="H144">
        <v>1326.45</v>
      </c>
      <c r="I144">
        <v>31.28</v>
      </c>
    </row>
    <row r="145" spans="1:9" x14ac:dyDescent="0.35">
      <c r="A145">
        <v>2561</v>
      </c>
      <c r="B145" t="s">
        <v>20</v>
      </c>
      <c r="C145">
        <v>19353.259999999998</v>
      </c>
      <c r="D145">
        <v>954.74</v>
      </c>
      <c r="E145">
        <v>20308</v>
      </c>
      <c r="F145">
        <v>19708</v>
      </c>
      <c r="G145">
        <v>19808</v>
      </c>
      <c r="H145">
        <v>1334.96</v>
      </c>
      <c r="I145">
        <v>31.33</v>
      </c>
    </row>
    <row r="146" spans="1:9" x14ac:dyDescent="0.35">
      <c r="A146">
        <v>2561</v>
      </c>
      <c r="B146" t="s">
        <v>9</v>
      </c>
      <c r="C146">
        <v>19308.23</v>
      </c>
      <c r="D146">
        <v>952.89</v>
      </c>
      <c r="E146">
        <v>20261.11</v>
      </c>
      <c r="F146">
        <v>19661.11</v>
      </c>
      <c r="G146">
        <v>19761.11</v>
      </c>
      <c r="H146">
        <v>1304.8</v>
      </c>
      <c r="I146">
        <v>31.98</v>
      </c>
    </row>
    <row r="147" spans="1:9" x14ac:dyDescent="0.35">
      <c r="A147">
        <v>2561</v>
      </c>
      <c r="B147" t="s">
        <v>10</v>
      </c>
      <c r="C147">
        <v>19282.939999999999</v>
      </c>
      <c r="D147">
        <v>953.6</v>
      </c>
      <c r="E147">
        <v>20236.54</v>
      </c>
      <c r="F147">
        <v>19636.54</v>
      </c>
      <c r="G147">
        <v>19736.54</v>
      </c>
      <c r="H147">
        <v>1282.74</v>
      </c>
      <c r="I147">
        <v>32.49</v>
      </c>
    </row>
    <row r="148" spans="1:9" x14ac:dyDescent="0.35">
      <c r="A148">
        <v>2561</v>
      </c>
      <c r="B148" t="s">
        <v>11</v>
      </c>
      <c r="C148">
        <v>19108.599999999999</v>
      </c>
      <c r="D148">
        <v>951.02</v>
      </c>
      <c r="E148">
        <v>20059.62</v>
      </c>
      <c r="F148">
        <v>19459.62</v>
      </c>
      <c r="G148">
        <v>19559.62</v>
      </c>
      <c r="H148">
        <v>1238.9100000000001</v>
      </c>
      <c r="I148">
        <v>33.29</v>
      </c>
    </row>
    <row r="149" spans="1:9" x14ac:dyDescent="0.35">
      <c r="A149">
        <v>2561</v>
      </c>
      <c r="B149" t="s">
        <v>12</v>
      </c>
      <c r="C149">
        <v>18432.88</v>
      </c>
      <c r="D149">
        <v>937.49</v>
      </c>
      <c r="E149">
        <v>19370.37</v>
      </c>
      <c r="F149">
        <v>18770.37</v>
      </c>
      <c r="G149">
        <v>18870.37</v>
      </c>
      <c r="H149">
        <v>1201.83</v>
      </c>
      <c r="I149">
        <v>33.049999999999997</v>
      </c>
    </row>
    <row r="150" spans="1:9" x14ac:dyDescent="0.35">
      <c r="A150">
        <v>2561</v>
      </c>
      <c r="B150" t="s">
        <v>13</v>
      </c>
      <c r="C150">
        <v>18122.259999999998</v>
      </c>
      <c r="D150">
        <v>931.74</v>
      </c>
      <c r="E150">
        <v>19054</v>
      </c>
      <c r="F150">
        <v>18454</v>
      </c>
      <c r="G150">
        <v>18554</v>
      </c>
      <c r="H150">
        <v>1198.73</v>
      </c>
      <c r="I150">
        <v>32.64</v>
      </c>
    </row>
    <row r="151" spans="1:9" x14ac:dyDescent="0.35">
      <c r="A151">
        <v>2561</v>
      </c>
      <c r="B151" t="s">
        <v>14</v>
      </c>
      <c r="C151">
        <v>18454.77</v>
      </c>
      <c r="D151">
        <v>937.82</v>
      </c>
      <c r="E151">
        <v>19392.59</v>
      </c>
      <c r="F151">
        <v>18792.59</v>
      </c>
      <c r="G151">
        <v>18892.59</v>
      </c>
      <c r="H151">
        <v>1215.6300000000001</v>
      </c>
      <c r="I151">
        <v>32.79</v>
      </c>
    </row>
    <row r="152" spans="1:9" x14ac:dyDescent="0.35">
      <c r="A152">
        <v>2561</v>
      </c>
      <c r="B152" t="s">
        <v>15</v>
      </c>
      <c r="C152">
        <v>18644.47</v>
      </c>
      <c r="D152">
        <v>942.07</v>
      </c>
      <c r="E152">
        <v>19586.54</v>
      </c>
      <c r="F152">
        <v>18986.54</v>
      </c>
      <c r="G152">
        <v>19086.54</v>
      </c>
      <c r="H152">
        <v>1221.3900000000001</v>
      </c>
      <c r="I152">
        <v>32.979999999999997</v>
      </c>
    </row>
    <row r="153" spans="1:9" x14ac:dyDescent="0.35">
      <c r="A153">
        <v>2561</v>
      </c>
      <c r="B153" t="s">
        <v>16</v>
      </c>
      <c r="C153">
        <v>18947.080000000002</v>
      </c>
      <c r="D153">
        <v>947.15</v>
      </c>
      <c r="E153">
        <v>19894.23</v>
      </c>
      <c r="F153">
        <v>19294.23</v>
      </c>
      <c r="G153">
        <v>19394.23</v>
      </c>
      <c r="H153">
        <v>1251.81</v>
      </c>
      <c r="I153">
        <v>32.72</v>
      </c>
    </row>
    <row r="154" spans="1:9" x14ac:dyDescent="0.35">
      <c r="A154">
        <v>2562</v>
      </c>
      <c r="B154" t="s">
        <v>17</v>
      </c>
      <c r="C154">
        <v>19035.91</v>
      </c>
      <c r="D154">
        <v>949.28</v>
      </c>
      <c r="E154">
        <v>19985.189999999999</v>
      </c>
      <c r="F154">
        <v>19385.189999999999</v>
      </c>
      <c r="G154">
        <v>19485.189999999999</v>
      </c>
      <c r="H154">
        <v>1291.67</v>
      </c>
      <c r="I154">
        <v>31.82</v>
      </c>
    </row>
    <row r="155" spans="1:9" x14ac:dyDescent="0.35">
      <c r="A155">
        <v>2562</v>
      </c>
      <c r="B155" t="s">
        <v>18</v>
      </c>
      <c r="C155">
        <v>19130.66</v>
      </c>
      <c r="D155">
        <v>948.51</v>
      </c>
      <c r="E155">
        <v>20079.169999999998</v>
      </c>
      <c r="F155">
        <v>19479.169999999998</v>
      </c>
      <c r="G155">
        <v>19579.169999999998</v>
      </c>
      <c r="H155">
        <v>1319.9</v>
      </c>
      <c r="I155">
        <v>31.32</v>
      </c>
    </row>
    <row r="156" spans="1:9" x14ac:dyDescent="0.35">
      <c r="A156">
        <v>2562</v>
      </c>
      <c r="B156" t="s">
        <v>19</v>
      </c>
      <c r="C156">
        <v>19127.259999999998</v>
      </c>
      <c r="D156">
        <v>949.67</v>
      </c>
      <c r="E156">
        <v>20076.919999999998</v>
      </c>
      <c r="F156">
        <v>19476.919999999998</v>
      </c>
      <c r="G156">
        <v>19576.919999999998</v>
      </c>
      <c r="H156">
        <v>1302.3599999999999</v>
      </c>
      <c r="I156">
        <v>31.74</v>
      </c>
    </row>
    <row r="157" spans="1:9" x14ac:dyDescent="0.35">
      <c r="A157">
        <v>2562</v>
      </c>
      <c r="B157" t="s">
        <v>20</v>
      </c>
      <c r="C157">
        <v>18992.560000000001</v>
      </c>
      <c r="D157">
        <v>949.74</v>
      </c>
      <c r="E157">
        <v>19942.310000000001</v>
      </c>
      <c r="F157">
        <v>19342.310000000001</v>
      </c>
      <c r="G157">
        <v>19442.310000000001</v>
      </c>
      <c r="H157">
        <v>1286.75</v>
      </c>
      <c r="I157">
        <v>31.88</v>
      </c>
    </row>
    <row r="158" spans="1:9" x14ac:dyDescent="0.35">
      <c r="A158">
        <v>2562</v>
      </c>
      <c r="B158" t="s">
        <v>9</v>
      </c>
      <c r="C158">
        <v>18901.71</v>
      </c>
      <c r="D158">
        <v>946.44</v>
      </c>
      <c r="E158">
        <v>19848.150000000001</v>
      </c>
      <c r="F158">
        <v>19248.150000000001</v>
      </c>
      <c r="G158">
        <v>19348.150000000001</v>
      </c>
      <c r="H158">
        <v>1283.6099999999999</v>
      </c>
      <c r="I158">
        <v>31.81</v>
      </c>
    </row>
    <row r="159" spans="1:9" x14ac:dyDescent="0.35">
      <c r="A159">
        <v>2562</v>
      </c>
      <c r="B159" t="s">
        <v>10</v>
      </c>
      <c r="C159">
        <v>19549.12</v>
      </c>
      <c r="D159">
        <v>958.88</v>
      </c>
      <c r="E159">
        <v>20508</v>
      </c>
      <c r="F159">
        <v>19908</v>
      </c>
      <c r="G159">
        <v>20008</v>
      </c>
      <c r="H159">
        <v>1358.83</v>
      </c>
      <c r="I159">
        <v>31.12</v>
      </c>
    </row>
    <row r="160" spans="1:9" x14ac:dyDescent="0.35">
      <c r="A160">
        <v>2562</v>
      </c>
      <c r="B160" t="s">
        <v>11</v>
      </c>
      <c r="C160">
        <v>20161.12</v>
      </c>
      <c r="D160">
        <v>968.51</v>
      </c>
      <c r="E160">
        <v>21129.63</v>
      </c>
      <c r="F160">
        <v>20529.63</v>
      </c>
      <c r="G160">
        <v>20629.63</v>
      </c>
      <c r="H160">
        <v>1414.87</v>
      </c>
      <c r="I160">
        <v>30.81</v>
      </c>
    </row>
    <row r="161" spans="1:9" x14ac:dyDescent="0.35">
      <c r="A161">
        <v>2562</v>
      </c>
      <c r="B161" t="s">
        <v>12</v>
      </c>
      <c r="C161">
        <v>21333.49</v>
      </c>
      <c r="D161">
        <v>990.59</v>
      </c>
      <c r="E161">
        <v>22324.07</v>
      </c>
      <c r="F161">
        <v>21724.07</v>
      </c>
      <c r="G161">
        <v>21824.07</v>
      </c>
      <c r="H161">
        <v>1499.27</v>
      </c>
      <c r="I161">
        <v>30.78</v>
      </c>
    </row>
    <row r="162" spans="1:9" x14ac:dyDescent="0.35">
      <c r="A162">
        <v>2562</v>
      </c>
      <c r="B162" t="s">
        <v>13</v>
      </c>
      <c r="C162">
        <v>21361.05</v>
      </c>
      <c r="D162">
        <v>992.95</v>
      </c>
      <c r="E162">
        <v>22354</v>
      </c>
      <c r="F162">
        <v>21754</v>
      </c>
      <c r="G162">
        <v>21854</v>
      </c>
      <c r="H162">
        <v>1510.31</v>
      </c>
      <c r="I162">
        <v>30.58</v>
      </c>
    </row>
    <row r="163" spans="1:9" x14ac:dyDescent="0.35">
      <c r="A163">
        <v>2562</v>
      </c>
      <c r="B163" t="s">
        <v>14</v>
      </c>
      <c r="C163">
        <v>21017.37</v>
      </c>
      <c r="D163">
        <v>988.18</v>
      </c>
      <c r="E163">
        <v>22005.56</v>
      </c>
      <c r="F163">
        <v>21405.56</v>
      </c>
      <c r="G163">
        <v>21505.56</v>
      </c>
      <c r="H163">
        <v>1494.54</v>
      </c>
      <c r="I163">
        <v>30.38</v>
      </c>
    </row>
    <row r="164" spans="1:9" x14ac:dyDescent="0.35">
      <c r="A164">
        <v>2562</v>
      </c>
      <c r="B164" t="s">
        <v>15</v>
      </c>
      <c r="C164">
        <v>20632.759999999998</v>
      </c>
      <c r="D164">
        <v>978.78</v>
      </c>
      <c r="E164">
        <v>21611.54</v>
      </c>
      <c r="F164">
        <v>21011.54</v>
      </c>
      <c r="G164">
        <v>21111.54</v>
      </c>
      <c r="H164">
        <v>1472.67</v>
      </c>
      <c r="I164">
        <v>30.26</v>
      </c>
    </row>
    <row r="165" spans="1:9" x14ac:dyDescent="0.35">
      <c r="A165">
        <v>2562</v>
      </c>
      <c r="B165" t="s">
        <v>16</v>
      </c>
      <c r="C165">
        <v>20724.89</v>
      </c>
      <c r="D165">
        <v>978.96</v>
      </c>
      <c r="E165">
        <v>21703.85</v>
      </c>
      <c r="F165">
        <v>21103.85</v>
      </c>
      <c r="G165">
        <v>21203.85</v>
      </c>
      <c r="H165">
        <v>1481.89</v>
      </c>
      <c r="I165">
        <v>30.23</v>
      </c>
    </row>
    <row r="166" spans="1:9" x14ac:dyDescent="0.35">
      <c r="A166">
        <v>2563</v>
      </c>
      <c r="B166" t="s">
        <v>17</v>
      </c>
      <c r="C166">
        <v>21941.57</v>
      </c>
      <c r="D166">
        <v>1002.87</v>
      </c>
      <c r="E166">
        <v>22944.44</v>
      </c>
      <c r="F166">
        <v>22344.44</v>
      </c>
      <c r="G166">
        <v>22444.44</v>
      </c>
      <c r="H166">
        <v>1559.17</v>
      </c>
      <c r="I166">
        <v>30.43</v>
      </c>
    </row>
    <row r="167" spans="1:9" x14ac:dyDescent="0.35">
      <c r="A167">
        <v>2563</v>
      </c>
      <c r="B167" t="s">
        <v>18</v>
      </c>
      <c r="C167">
        <v>23165.69</v>
      </c>
      <c r="D167">
        <v>1024.31</v>
      </c>
      <c r="E167">
        <v>24190</v>
      </c>
      <c r="F167">
        <v>23590</v>
      </c>
      <c r="G167">
        <v>23690</v>
      </c>
      <c r="H167">
        <v>1597.06</v>
      </c>
      <c r="I167">
        <v>31.34</v>
      </c>
    </row>
    <row r="168" spans="1:9" x14ac:dyDescent="0.35">
      <c r="A168">
        <v>2563</v>
      </c>
      <c r="B168" t="s">
        <v>19</v>
      </c>
      <c r="C168">
        <v>23549.89</v>
      </c>
      <c r="D168">
        <v>1067.4100000000001</v>
      </c>
      <c r="E168">
        <v>24617.31</v>
      </c>
      <c r="F168">
        <v>23982.69</v>
      </c>
      <c r="G168">
        <v>24117.31</v>
      </c>
      <c r="H168">
        <v>1589.81</v>
      </c>
      <c r="I168">
        <v>32.130000000000003</v>
      </c>
    </row>
    <row r="169" spans="1:9" x14ac:dyDescent="0.35">
      <c r="A169">
        <v>2563</v>
      </c>
      <c r="B169" t="s">
        <v>20</v>
      </c>
      <c r="C169">
        <v>25105.54</v>
      </c>
      <c r="D169">
        <v>1159.8399999999999</v>
      </c>
      <c r="E169">
        <v>26265.38</v>
      </c>
      <c r="F169">
        <v>25565.38</v>
      </c>
      <c r="G169">
        <v>25765.38</v>
      </c>
      <c r="H169">
        <v>1679.44</v>
      </c>
      <c r="I169">
        <v>32.630000000000003</v>
      </c>
    </row>
    <row r="170" spans="1:9" x14ac:dyDescent="0.35">
      <c r="A170">
        <v>2563</v>
      </c>
      <c r="B170" t="s">
        <v>9</v>
      </c>
      <c r="C170">
        <v>25436.73</v>
      </c>
      <c r="D170">
        <v>1167.1199999999999</v>
      </c>
      <c r="E170">
        <v>26603.85</v>
      </c>
      <c r="F170">
        <v>25903.85</v>
      </c>
      <c r="G170">
        <v>26103.85</v>
      </c>
      <c r="H170">
        <v>1719.21</v>
      </c>
      <c r="I170">
        <v>32.1</v>
      </c>
    </row>
    <row r="171" spans="1:9" x14ac:dyDescent="0.35">
      <c r="A171">
        <v>2563</v>
      </c>
      <c r="B171" t="s">
        <v>10</v>
      </c>
      <c r="C171">
        <v>25035.57</v>
      </c>
      <c r="D171">
        <v>1058.6600000000001</v>
      </c>
      <c r="E171">
        <v>26094.23</v>
      </c>
      <c r="F171">
        <v>25494.23</v>
      </c>
      <c r="G171">
        <v>25594.23</v>
      </c>
      <c r="H171">
        <v>1734.46</v>
      </c>
      <c r="I171">
        <v>31.17</v>
      </c>
    </row>
    <row r="172" spans="1:9" x14ac:dyDescent="0.35">
      <c r="A172">
        <v>2563</v>
      </c>
      <c r="B172" t="s">
        <v>11</v>
      </c>
      <c r="C172">
        <v>26714.73</v>
      </c>
      <c r="D172">
        <v>1090.83</v>
      </c>
      <c r="E172">
        <v>27805.56</v>
      </c>
      <c r="F172">
        <v>27205.56</v>
      </c>
      <c r="G172">
        <v>27305.56</v>
      </c>
      <c r="H172">
        <v>1838.11</v>
      </c>
      <c r="I172">
        <v>31.42</v>
      </c>
    </row>
    <row r="173" spans="1:9" x14ac:dyDescent="0.35">
      <c r="A173">
        <v>2563</v>
      </c>
      <c r="B173" t="s">
        <v>12</v>
      </c>
      <c r="C173">
        <v>28456.49</v>
      </c>
      <c r="D173">
        <v>1122.3599999999999</v>
      </c>
      <c r="E173">
        <v>29578.85</v>
      </c>
      <c r="F173">
        <v>28978.85</v>
      </c>
      <c r="G173">
        <v>29078.85</v>
      </c>
      <c r="H173">
        <v>1970.31</v>
      </c>
      <c r="I173">
        <v>31.22</v>
      </c>
    </row>
    <row r="174" spans="1:9" x14ac:dyDescent="0.35">
      <c r="A174">
        <v>2563</v>
      </c>
      <c r="B174" t="s">
        <v>13</v>
      </c>
      <c r="C174">
        <v>27949.21</v>
      </c>
      <c r="D174">
        <v>1112.33</v>
      </c>
      <c r="E174">
        <v>29061.54</v>
      </c>
      <c r="F174">
        <v>28461.54</v>
      </c>
      <c r="G174">
        <v>28561.54</v>
      </c>
      <c r="H174">
        <v>1924.25</v>
      </c>
      <c r="I174">
        <v>31.37</v>
      </c>
    </row>
    <row r="175" spans="1:9" x14ac:dyDescent="0.35">
      <c r="A175">
        <v>2563</v>
      </c>
      <c r="B175" t="s">
        <v>14</v>
      </c>
      <c r="C175">
        <v>27551.9</v>
      </c>
      <c r="D175">
        <v>1105.51</v>
      </c>
      <c r="E175">
        <v>28657.41</v>
      </c>
      <c r="F175">
        <v>28057.41</v>
      </c>
      <c r="G175">
        <v>28157.41</v>
      </c>
      <c r="H175">
        <v>1902.7</v>
      </c>
      <c r="I175">
        <v>31.26</v>
      </c>
    </row>
    <row r="176" spans="1:9" x14ac:dyDescent="0.35">
      <c r="A176">
        <v>2563</v>
      </c>
      <c r="B176" t="s">
        <v>15</v>
      </c>
      <c r="C176">
        <v>26422.06</v>
      </c>
      <c r="D176">
        <v>1083.94</v>
      </c>
      <c r="E176">
        <v>27506</v>
      </c>
      <c r="F176">
        <v>26906</v>
      </c>
      <c r="G176">
        <v>27006</v>
      </c>
      <c r="H176">
        <v>1872.18</v>
      </c>
      <c r="I176">
        <v>30.46</v>
      </c>
    </row>
    <row r="177" spans="1:9" x14ac:dyDescent="0.35">
      <c r="A177">
        <v>2563</v>
      </c>
      <c r="B177" t="s">
        <v>16</v>
      </c>
      <c r="C177">
        <v>25891.03</v>
      </c>
      <c r="D177">
        <v>1075.6300000000001</v>
      </c>
      <c r="E177">
        <v>26966.67</v>
      </c>
      <c r="F177">
        <v>26366.67</v>
      </c>
      <c r="G177">
        <v>26466.67</v>
      </c>
      <c r="H177">
        <v>1857.91</v>
      </c>
      <c r="I177">
        <v>30.09</v>
      </c>
    </row>
    <row r="178" spans="1:9" x14ac:dyDescent="0.35">
      <c r="A178">
        <v>2564</v>
      </c>
      <c r="B178" t="s">
        <v>17</v>
      </c>
      <c r="C178">
        <v>25983.07</v>
      </c>
      <c r="D178">
        <v>1076.54</v>
      </c>
      <c r="E178">
        <v>27059.62</v>
      </c>
      <c r="F178">
        <v>26459.62</v>
      </c>
      <c r="G178">
        <v>26559.62</v>
      </c>
      <c r="H178">
        <v>1868.85</v>
      </c>
      <c r="I178">
        <v>30.02</v>
      </c>
    </row>
    <row r="179" spans="1:9" x14ac:dyDescent="0.35">
      <c r="A179">
        <v>2564</v>
      </c>
      <c r="B179" t="s">
        <v>18</v>
      </c>
      <c r="C179">
        <v>25188.34</v>
      </c>
      <c r="D179">
        <v>1061.6600000000001</v>
      </c>
      <c r="E179">
        <v>26250</v>
      </c>
      <c r="F179">
        <v>25650</v>
      </c>
      <c r="G179">
        <v>25750</v>
      </c>
      <c r="H179">
        <v>1809.85</v>
      </c>
      <c r="I179">
        <v>30.04</v>
      </c>
    </row>
    <row r="180" spans="1:9" x14ac:dyDescent="0.35">
      <c r="A180">
        <v>2564</v>
      </c>
      <c r="B180" t="s">
        <v>19</v>
      </c>
      <c r="C180">
        <v>24581.66</v>
      </c>
      <c r="D180">
        <v>1049.82</v>
      </c>
      <c r="E180">
        <v>25631.48</v>
      </c>
      <c r="F180">
        <v>25031.48</v>
      </c>
      <c r="G180">
        <v>25131.48</v>
      </c>
      <c r="H180">
        <v>1723.04</v>
      </c>
      <c r="I180">
        <v>30.79</v>
      </c>
    </row>
    <row r="181" spans="1:9" x14ac:dyDescent="0.35">
      <c r="A181">
        <v>2564</v>
      </c>
      <c r="B181" t="s">
        <v>20</v>
      </c>
      <c r="C181">
        <v>25490.959999999999</v>
      </c>
      <c r="D181">
        <v>1066.74</v>
      </c>
      <c r="E181">
        <v>26557.69</v>
      </c>
      <c r="F181">
        <v>25957.69</v>
      </c>
      <c r="G181">
        <v>26057.69</v>
      </c>
      <c r="H181">
        <v>1756.56</v>
      </c>
      <c r="I181">
        <v>31.35</v>
      </c>
    </row>
    <row r="182" spans="1:9" x14ac:dyDescent="0.35">
      <c r="A182">
        <v>2564</v>
      </c>
      <c r="B182" t="s">
        <v>9</v>
      </c>
      <c r="C182">
        <v>26736.99</v>
      </c>
      <c r="D182">
        <v>1089.93</v>
      </c>
      <c r="E182">
        <v>27826.92</v>
      </c>
      <c r="F182">
        <v>27226.92</v>
      </c>
      <c r="G182">
        <v>27326.92</v>
      </c>
      <c r="H182">
        <v>1847.04</v>
      </c>
      <c r="I182">
        <v>31.28</v>
      </c>
    </row>
    <row r="183" spans="1:9" x14ac:dyDescent="0.35">
      <c r="A183">
        <v>2564</v>
      </c>
      <c r="B183" t="s">
        <v>10</v>
      </c>
      <c r="C183">
        <v>26722.42</v>
      </c>
      <c r="D183">
        <v>1087.2</v>
      </c>
      <c r="E183">
        <v>27809.62</v>
      </c>
      <c r="F183">
        <v>27209.62</v>
      </c>
      <c r="G183">
        <v>27309.62</v>
      </c>
      <c r="H183">
        <v>1835.67</v>
      </c>
      <c r="I183">
        <v>31.44</v>
      </c>
    </row>
    <row r="184" spans="1:9" x14ac:dyDescent="0.35">
      <c r="A184">
        <v>2564</v>
      </c>
      <c r="B184" t="s">
        <v>11</v>
      </c>
      <c r="C184">
        <v>27291.37</v>
      </c>
      <c r="D184">
        <v>1101.22</v>
      </c>
      <c r="E184">
        <v>28392.59</v>
      </c>
      <c r="F184">
        <v>27792.59</v>
      </c>
      <c r="G184">
        <v>27892.59</v>
      </c>
      <c r="H184">
        <v>1806.09</v>
      </c>
      <c r="I184">
        <v>32.64</v>
      </c>
    </row>
    <row r="185" spans="1:9" x14ac:dyDescent="0.35">
      <c r="A185">
        <v>2564</v>
      </c>
      <c r="B185" t="s">
        <v>12</v>
      </c>
      <c r="C185">
        <v>27395.29</v>
      </c>
      <c r="D185">
        <v>1102.79</v>
      </c>
      <c r="E185">
        <v>28498.080000000002</v>
      </c>
      <c r="F185">
        <v>27898.080000000002</v>
      </c>
      <c r="G185">
        <v>27998.080000000002</v>
      </c>
      <c r="H185">
        <v>1786.1</v>
      </c>
      <c r="I185">
        <v>33.119999999999997</v>
      </c>
    </row>
    <row r="186" spans="1:9" x14ac:dyDescent="0.35">
      <c r="A186">
        <v>2564</v>
      </c>
      <c r="B186" t="s">
        <v>13</v>
      </c>
      <c r="C186">
        <v>27275.17</v>
      </c>
      <c r="D186">
        <v>1099.83</v>
      </c>
      <c r="E186">
        <v>28375</v>
      </c>
      <c r="F186">
        <v>27775</v>
      </c>
      <c r="G186">
        <v>27875</v>
      </c>
      <c r="H186">
        <v>1781.67</v>
      </c>
      <c r="I186">
        <v>33.06</v>
      </c>
    </row>
    <row r="187" spans="1:9" x14ac:dyDescent="0.35">
      <c r="A187">
        <v>2564</v>
      </c>
      <c r="B187" t="s">
        <v>14</v>
      </c>
      <c r="C187">
        <v>27522.98</v>
      </c>
      <c r="D187">
        <v>1105.8699999999999</v>
      </c>
      <c r="E187">
        <v>28628.85</v>
      </c>
      <c r="F187">
        <v>28028.85</v>
      </c>
      <c r="G187">
        <v>28128.85</v>
      </c>
      <c r="H187">
        <v>1774.69</v>
      </c>
      <c r="I187">
        <v>33.49</v>
      </c>
    </row>
    <row r="188" spans="1:9" x14ac:dyDescent="0.35">
      <c r="A188">
        <v>2564</v>
      </c>
      <c r="B188" t="s">
        <v>15</v>
      </c>
      <c r="C188">
        <v>27948.04</v>
      </c>
      <c r="D188">
        <v>1111.57</v>
      </c>
      <c r="E188">
        <v>29059.62</v>
      </c>
      <c r="F188">
        <v>28459.62</v>
      </c>
      <c r="G188">
        <v>28559.62</v>
      </c>
      <c r="H188">
        <v>1822.42</v>
      </c>
      <c r="I188">
        <v>33.11</v>
      </c>
    </row>
    <row r="189" spans="1:9" x14ac:dyDescent="0.35">
      <c r="A189">
        <v>2564</v>
      </c>
      <c r="B189" t="s">
        <v>16</v>
      </c>
      <c r="C189">
        <v>27882.05</v>
      </c>
      <c r="D189">
        <v>1112.4000000000001</v>
      </c>
      <c r="E189">
        <v>28994.44</v>
      </c>
      <c r="F189">
        <v>28394.44</v>
      </c>
      <c r="G189">
        <v>28494.44</v>
      </c>
      <c r="H189">
        <v>1792.17</v>
      </c>
      <c r="I189">
        <v>33.58</v>
      </c>
    </row>
    <row r="190" spans="1:9" x14ac:dyDescent="0.35">
      <c r="A190">
        <v>2565</v>
      </c>
      <c r="B190" t="s">
        <v>17</v>
      </c>
      <c r="C190">
        <v>27994.11</v>
      </c>
      <c r="D190">
        <v>1113.5899999999999</v>
      </c>
      <c r="E190">
        <v>29107.69</v>
      </c>
      <c r="F190">
        <v>28507.69</v>
      </c>
      <c r="G190">
        <v>28607.69</v>
      </c>
      <c r="H190">
        <v>1817.06</v>
      </c>
      <c r="I190">
        <v>33.25</v>
      </c>
    </row>
    <row r="191" spans="1:9" x14ac:dyDescent="0.35">
      <c r="A191">
        <v>2565</v>
      </c>
      <c r="B191" t="s">
        <v>18</v>
      </c>
      <c r="C191">
        <v>28088.95</v>
      </c>
      <c r="D191">
        <v>1113.1300000000001</v>
      </c>
      <c r="E191">
        <v>29202.080000000002</v>
      </c>
      <c r="F191">
        <v>28602.080000000002</v>
      </c>
      <c r="G191">
        <v>28702.080000000002</v>
      </c>
      <c r="H191">
        <v>1858.15</v>
      </c>
      <c r="I191">
        <v>32.64</v>
      </c>
    </row>
    <row r="192" spans="1:9" x14ac:dyDescent="0.35">
      <c r="A192">
        <v>2565</v>
      </c>
      <c r="B192" t="s">
        <v>19</v>
      </c>
      <c r="C192">
        <v>29959.53</v>
      </c>
      <c r="D192">
        <v>1149.73</v>
      </c>
      <c r="E192">
        <v>31109.26</v>
      </c>
      <c r="F192">
        <v>30509.26</v>
      </c>
      <c r="G192">
        <v>30609.26</v>
      </c>
      <c r="H192">
        <v>1948.33</v>
      </c>
      <c r="I192">
        <v>33.24</v>
      </c>
    </row>
    <row r="193" spans="1:9" x14ac:dyDescent="0.35">
      <c r="A193">
        <v>2565</v>
      </c>
      <c r="B193" t="s">
        <v>20</v>
      </c>
      <c r="C193">
        <v>30340.41</v>
      </c>
      <c r="D193">
        <v>1155.75</v>
      </c>
      <c r="E193">
        <v>31496.15</v>
      </c>
      <c r="F193">
        <v>30896.15</v>
      </c>
      <c r="G193">
        <v>30996.15</v>
      </c>
      <c r="H193">
        <v>1939.35</v>
      </c>
      <c r="I193">
        <v>33.78</v>
      </c>
    </row>
    <row r="194" spans="1:9" x14ac:dyDescent="0.35">
      <c r="A194">
        <v>2565</v>
      </c>
      <c r="B194" t="s">
        <v>9</v>
      </c>
      <c r="C194">
        <v>29546.84</v>
      </c>
      <c r="D194">
        <v>1139.7</v>
      </c>
      <c r="E194">
        <v>30686.54</v>
      </c>
      <c r="F194">
        <v>30086.54</v>
      </c>
      <c r="G194">
        <v>30186.54</v>
      </c>
      <c r="H194">
        <v>1851.6</v>
      </c>
      <c r="I194">
        <v>34.43</v>
      </c>
    </row>
    <row r="195" spans="1:9" x14ac:dyDescent="0.35">
      <c r="A195">
        <v>2565</v>
      </c>
      <c r="B195" t="s">
        <v>10</v>
      </c>
      <c r="C195">
        <v>29775.41</v>
      </c>
      <c r="D195">
        <v>1145.75</v>
      </c>
      <c r="E195">
        <v>30921.15</v>
      </c>
      <c r="F195">
        <v>30321.15</v>
      </c>
      <c r="G195">
        <v>30421.15</v>
      </c>
      <c r="H195">
        <v>1839.42</v>
      </c>
      <c r="I195">
        <v>34.94</v>
      </c>
    </row>
    <row r="196" spans="1:9" x14ac:dyDescent="0.35">
      <c r="A196">
        <v>2565</v>
      </c>
      <c r="B196" t="s">
        <v>11</v>
      </c>
      <c r="C196">
        <v>29341.599999999999</v>
      </c>
      <c r="D196">
        <v>1137.25</v>
      </c>
      <c r="E196">
        <v>30478.85</v>
      </c>
      <c r="F196">
        <v>29878.85</v>
      </c>
      <c r="G196">
        <v>29978.85</v>
      </c>
      <c r="H196">
        <v>1742.04</v>
      </c>
      <c r="I196">
        <v>36.32</v>
      </c>
    </row>
    <row r="197" spans="1:9" x14ac:dyDescent="0.35">
      <c r="A197">
        <v>2565</v>
      </c>
      <c r="B197" t="s">
        <v>12</v>
      </c>
      <c r="C197">
        <v>29323.93</v>
      </c>
      <c r="D197">
        <v>1139.03</v>
      </c>
      <c r="E197">
        <v>30462.959999999999</v>
      </c>
      <c r="F197">
        <v>29862.959999999999</v>
      </c>
      <c r="G197">
        <v>29962.959999999999</v>
      </c>
      <c r="H197">
        <v>1764.59</v>
      </c>
      <c r="I197">
        <v>35.840000000000003</v>
      </c>
    </row>
    <row r="198" spans="1:9" x14ac:dyDescent="0.35">
      <c r="A198">
        <v>2565</v>
      </c>
      <c r="B198" t="s">
        <v>13</v>
      </c>
      <c r="C198">
        <v>28907.200000000001</v>
      </c>
      <c r="D198">
        <v>1131.26</v>
      </c>
      <c r="E198">
        <v>30038.46</v>
      </c>
      <c r="F198">
        <v>29438.46</v>
      </c>
      <c r="G198">
        <v>29538.46</v>
      </c>
      <c r="H198">
        <v>1684.94</v>
      </c>
      <c r="I198">
        <v>37.01</v>
      </c>
    </row>
    <row r="199" spans="1:9" x14ac:dyDescent="0.35">
      <c r="A199">
        <v>2565</v>
      </c>
      <c r="B199" t="s">
        <v>14</v>
      </c>
      <c r="C199">
        <v>29279.79</v>
      </c>
      <c r="D199">
        <v>1135.5899999999999</v>
      </c>
      <c r="E199">
        <v>30415.38</v>
      </c>
      <c r="F199">
        <v>29815.38</v>
      </c>
      <c r="G199">
        <v>29915.38</v>
      </c>
      <c r="H199">
        <v>1664.98</v>
      </c>
      <c r="I199">
        <v>37.94</v>
      </c>
    </row>
    <row r="200" spans="1:9" x14ac:dyDescent="0.35">
      <c r="A200">
        <v>2565</v>
      </c>
      <c r="B200" t="s">
        <v>15</v>
      </c>
      <c r="C200">
        <v>29100.79</v>
      </c>
      <c r="D200">
        <v>1133.83</v>
      </c>
      <c r="E200">
        <v>30234.62</v>
      </c>
      <c r="F200">
        <v>29634.62</v>
      </c>
      <c r="G200">
        <v>29734.62</v>
      </c>
      <c r="H200">
        <v>1727.44</v>
      </c>
      <c r="I200">
        <v>36.380000000000003</v>
      </c>
    </row>
    <row r="201" spans="1:9" x14ac:dyDescent="0.35">
      <c r="A201">
        <v>2565</v>
      </c>
      <c r="B201" t="s">
        <v>16</v>
      </c>
      <c r="C201">
        <v>28967.95</v>
      </c>
      <c r="D201">
        <v>1132.05</v>
      </c>
      <c r="E201">
        <v>30100</v>
      </c>
      <c r="F201">
        <v>29500</v>
      </c>
      <c r="G201">
        <v>29600</v>
      </c>
      <c r="H201">
        <v>1797.2</v>
      </c>
      <c r="I201">
        <v>34.79</v>
      </c>
    </row>
    <row r="202" spans="1:9" x14ac:dyDescent="0.35">
      <c r="A202">
        <v>2566</v>
      </c>
      <c r="B202" t="s">
        <v>17</v>
      </c>
      <c r="C202">
        <v>29227.9</v>
      </c>
      <c r="D202">
        <v>1133.6400000000001</v>
      </c>
      <c r="E202">
        <v>30361.54</v>
      </c>
      <c r="F202">
        <v>29761.54</v>
      </c>
      <c r="G202">
        <v>29861.54</v>
      </c>
      <c r="H202">
        <v>1897.15</v>
      </c>
      <c r="I202">
        <v>33.270000000000003</v>
      </c>
    </row>
    <row r="203" spans="1:9" x14ac:dyDescent="0.35">
      <c r="A203">
        <v>2566</v>
      </c>
      <c r="B203" t="s">
        <v>18</v>
      </c>
      <c r="C203">
        <v>29287.23</v>
      </c>
      <c r="D203">
        <v>1135.69</v>
      </c>
      <c r="E203">
        <v>30422.92</v>
      </c>
      <c r="F203">
        <v>29822.92</v>
      </c>
      <c r="G203">
        <v>29922.92</v>
      </c>
      <c r="H203">
        <v>1857.5</v>
      </c>
      <c r="I203">
        <v>34.049999999999997</v>
      </c>
    </row>
    <row r="204" spans="1:9" x14ac:dyDescent="0.35">
      <c r="A204">
        <v>2566</v>
      </c>
      <c r="B204" t="s">
        <v>19</v>
      </c>
      <c r="C204">
        <v>30481.71</v>
      </c>
      <c r="D204">
        <v>1157.18</v>
      </c>
      <c r="E204">
        <v>31638.89</v>
      </c>
      <c r="F204">
        <v>31038.89</v>
      </c>
      <c r="G204">
        <v>31138.89</v>
      </c>
      <c r="H204">
        <v>1910.22</v>
      </c>
      <c r="I204">
        <v>34.47</v>
      </c>
    </row>
    <row r="205" spans="1:9" x14ac:dyDescent="0.35">
      <c r="A205">
        <v>2566</v>
      </c>
      <c r="B205" t="s">
        <v>20</v>
      </c>
      <c r="C205">
        <v>31707.439999999999</v>
      </c>
      <c r="D205">
        <v>1182.56</v>
      </c>
      <c r="E205">
        <v>32890</v>
      </c>
      <c r="F205">
        <v>32290</v>
      </c>
      <c r="G205">
        <v>32390</v>
      </c>
      <c r="H205">
        <v>1997.66</v>
      </c>
      <c r="I205">
        <v>34.24</v>
      </c>
    </row>
    <row r="206" spans="1:9" x14ac:dyDescent="0.35">
      <c r="A206">
        <v>2566</v>
      </c>
      <c r="B206" t="s">
        <v>9</v>
      </c>
      <c r="C206">
        <v>31578.84</v>
      </c>
      <c r="D206">
        <v>1178.57</v>
      </c>
      <c r="E206">
        <v>32757.41</v>
      </c>
      <c r="F206">
        <v>32157.41</v>
      </c>
      <c r="G206">
        <v>32257.41</v>
      </c>
      <c r="H206">
        <v>1991.06</v>
      </c>
      <c r="I206">
        <v>34.22</v>
      </c>
    </row>
    <row r="207" spans="1:9" x14ac:dyDescent="0.35">
      <c r="A207">
        <v>2566</v>
      </c>
      <c r="B207" t="s">
        <v>10</v>
      </c>
      <c r="C207">
        <v>31459.33</v>
      </c>
      <c r="D207">
        <v>1177.21</v>
      </c>
      <c r="E207">
        <v>32636.54</v>
      </c>
      <c r="F207">
        <v>32036.54</v>
      </c>
      <c r="G207">
        <v>32136.54</v>
      </c>
      <c r="H207">
        <v>1943.96</v>
      </c>
      <c r="I207">
        <v>34.92</v>
      </c>
    </row>
    <row r="208" spans="1:9" x14ac:dyDescent="0.35">
      <c r="A208">
        <v>2566</v>
      </c>
      <c r="B208" t="s">
        <v>11</v>
      </c>
      <c r="C208">
        <v>31286.74</v>
      </c>
      <c r="D208">
        <v>1172.8699999999999</v>
      </c>
      <c r="E208">
        <v>32459.62</v>
      </c>
      <c r="F208">
        <v>31859.62</v>
      </c>
      <c r="G208">
        <v>31959.62</v>
      </c>
      <c r="H208">
        <v>1948.4</v>
      </c>
      <c r="I208">
        <v>34.65</v>
      </c>
    </row>
    <row r="209" spans="1:9" x14ac:dyDescent="0.35">
      <c r="A209">
        <v>2566</v>
      </c>
      <c r="B209" t="s">
        <v>12</v>
      </c>
      <c r="C209">
        <v>31162.22</v>
      </c>
      <c r="D209">
        <v>1171.1099999999999</v>
      </c>
      <c r="E209">
        <v>32333.33</v>
      </c>
      <c r="F209">
        <v>31733.33</v>
      </c>
      <c r="G209">
        <v>31833.33</v>
      </c>
      <c r="H209">
        <v>1919.93</v>
      </c>
      <c r="I209">
        <v>35.020000000000003</v>
      </c>
    </row>
    <row r="210" spans="1:9" x14ac:dyDescent="0.35">
      <c r="A210">
        <v>2566</v>
      </c>
      <c r="B210" t="s">
        <v>13</v>
      </c>
      <c r="C210">
        <v>31829.59</v>
      </c>
      <c r="D210">
        <v>1183.8800000000001</v>
      </c>
      <c r="E210">
        <v>33013.46</v>
      </c>
      <c r="F210">
        <v>32413.46</v>
      </c>
      <c r="G210">
        <v>32513.46</v>
      </c>
      <c r="H210">
        <v>1917.98</v>
      </c>
      <c r="I210">
        <v>35.840000000000003</v>
      </c>
    </row>
    <row r="211" spans="1:9" x14ac:dyDescent="0.35">
      <c r="A211">
        <v>2566</v>
      </c>
      <c r="B211" t="s">
        <v>14</v>
      </c>
      <c r="C211">
        <v>32395.75</v>
      </c>
      <c r="D211">
        <v>1192.71</v>
      </c>
      <c r="E211">
        <v>33588.46</v>
      </c>
      <c r="F211">
        <v>32988.46</v>
      </c>
      <c r="G211">
        <v>33088.46</v>
      </c>
      <c r="H211">
        <v>1915.92</v>
      </c>
      <c r="I211">
        <v>36.51</v>
      </c>
    </row>
    <row r="212" spans="1:9" x14ac:dyDescent="0.35">
      <c r="A212">
        <v>2566</v>
      </c>
      <c r="B212" t="s">
        <v>15</v>
      </c>
      <c r="C212">
        <v>32626.07</v>
      </c>
      <c r="D212">
        <v>1197.01</v>
      </c>
      <c r="E212">
        <v>33823.08</v>
      </c>
      <c r="F212">
        <v>33223.08</v>
      </c>
      <c r="G212">
        <v>33323.08</v>
      </c>
      <c r="H212">
        <v>1984.12</v>
      </c>
      <c r="I212">
        <v>35.479999999999997</v>
      </c>
    </row>
    <row r="213" spans="1:9" x14ac:dyDescent="0.35">
      <c r="A213">
        <v>2566</v>
      </c>
      <c r="B213" t="s">
        <v>16</v>
      </c>
      <c r="C213">
        <v>33023.14</v>
      </c>
      <c r="D213">
        <v>1207.6199999999999</v>
      </c>
      <c r="E213">
        <v>34230.769999999997</v>
      </c>
      <c r="F213">
        <v>33630.769999999997</v>
      </c>
      <c r="G213">
        <v>33730.769999999997</v>
      </c>
      <c r="H213">
        <v>2038.08</v>
      </c>
      <c r="I213">
        <v>34.96</v>
      </c>
    </row>
    <row r="214" spans="1:9" x14ac:dyDescent="0.35">
      <c r="A214">
        <v>2567</v>
      </c>
      <c r="B214" t="s">
        <v>17</v>
      </c>
      <c r="C214">
        <v>33185.800000000003</v>
      </c>
      <c r="D214">
        <v>1210.49</v>
      </c>
      <c r="E214">
        <v>34396.300000000003</v>
      </c>
      <c r="F214">
        <v>33796.300000000003</v>
      </c>
      <c r="G214">
        <v>33896.300000000003</v>
      </c>
      <c r="H214">
        <v>2036.33</v>
      </c>
      <c r="I214">
        <v>35.18</v>
      </c>
    </row>
    <row r="215" spans="1:9" x14ac:dyDescent="0.35">
      <c r="A215">
        <v>2567</v>
      </c>
      <c r="B215" t="s">
        <v>18</v>
      </c>
      <c r="C215">
        <v>33667.33</v>
      </c>
      <c r="D215">
        <v>1216.67</v>
      </c>
      <c r="E215">
        <v>34884</v>
      </c>
      <c r="F215">
        <v>34284</v>
      </c>
      <c r="G215">
        <v>34384</v>
      </c>
      <c r="H215">
        <v>2026.68</v>
      </c>
      <c r="I215">
        <v>35.85</v>
      </c>
    </row>
    <row r="216" spans="1:9" x14ac:dyDescent="0.35">
      <c r="A216">
        <v>2567</v>
      </c>
      <c r="B216" t="s">
        <v>19</v>
      </c>
      <c r="C216">
        <v>36037.07</v>
      </c>
      <c r="D216">
        <v>1259.08</v>
      </c>
      <c r="E216">
        <v>37296.15</v>
      </c>
      <c r="F216">
        <v>36696.15</v>
      </c>
      <c r="G216">
        <v>36796.15</v>
      </c>
      <c r="H216">
        <v>2160.85</v>
      </c>
      <c r="I216">
        <v>35.979999999999997</v>
      </c>
    </row>
    <row r="217" spans="1:9" x14ac:dyDescent="0.35">
      <c r="A217">
        <v>2567</v>
      </c>
      <c r="B217" t="s">
        <v>20</v>
      </c>
      <c r="C217">
        <v>39828.82</v>
      </c>
      <c r="D217">
        <v>1330.8</v>
      </c>
      <c r="E217">
        <v>41159.620000000003</v>
      </c>
      <c r="F217">
        <v>40559.620000000003</v>
      </c>
      <c r="G217">
        <v>40659.620000000003</v>
      </c>
      <c r="H217">
        <v>2335.87</v>
      </c>
      <c r="I217">
        <v>36.76</v>
      </c>
    </row>
    <row r="218" spans="1:9" x14ac:dyDescent="0.35">
      <c r="A218">
        <v>2567</v>
      </c>
      <c r="B218" t="s">
        <v>9</v>
      </c>
      <c r="C218">
        <v>39917.4</v>
      </c>
      <c r="D218">
        <v>1332.6</v>
      </c>
      <c r="E218">
        <v>41250</v>
      </c>
      <c r="F218">
        <v>40650</v>
      </c>
      <c r="G218">
        <v>40750</v>
      </c>
      <c r="H218">
        <v>2349.81</v>
      </c>
      <c r="I218">
        <v>36.65</v>
      </c>
    </row>
    <row r="219" spans="1:9" x14ac:dyDescent="0.35">
      <c r="A219">
        <v>2567</v>
      </c>
      <c r="B219" t="s">
        <v>10</v>
      </c>
      <c r="C219">
        <v>39611.870000000003</v>
      </c>
      <c r="D219">
        <v>1326.13</v>
      </c>
      <c r="E219">
        <v>40938</v>
      </c>
      <c r="F219">
        <v>40338</v>
      </c>
      <c r="G219">
        <v>40438</v>
      </c>
      <c r="H219">
        <v>2325.08</v>
      </c>
      <c r="I219">
        <v>36.729999999999997</v>
      </c>
    </row>
    <row r="220" spans="1:9" x14ac:dyDescent="0.35">
      <c r="A220">
        <v>2567</v>
      </c>
      <c r="B220" t="s">
        <v>11</v>
      </c>
      <c r="C220">
        <v>40208.81</v>
      </c>
      <c r="D220">
        <v>1335.63</v>
      </c>
      <c r="E220">
        <v>41544.44</v>
      </c>
      <c r="F220">
        <v>40944.44</v>
      </c>
      <c r="G220">
        <v>41044.44</v>
      </c>
      <c r="H220">
        <v>2392.2600000000002</v>
      </c>
      <c r="I220">
        <v>36.26</v>
      </c>
    </row>
    <row r="221" spans="1:9" x14ac:dyDescent="0.35">
      <c r="A221">
        <v>2567</v>
      </c>
      <c r="B221" t="s">
        <v>12</v>
      </c>
      <c r="C221">
        <v>39847.22</v>
      </c>
      <c r="D221">
        <v>1330.56</v>
      </c>
      <c r="E221">
        <v>41177.78</v>
      </c>
      <c r="F221">
        <v>40577.78</v>
      </c>
      <c r="G221">
        <v>40677.78</v>
      </c>
      <c r="H221">
        <v>2473.48</v>
      </c>
      <c r="I221">
        <v>34.74</v>
      </c>
    </row>
    <row r="222" spans="1:9" x14ac:dyDescent="0.35">
      <c r="A222">
        <v>2567</v>
      </c>
      <c r="B222" t="s">
        <v>13</v>
      </c>
      <c r="C222">
        <v>39706.47</v>
      </c>
      <c r="D222">
        <v>1327.53</v>
      </c>
      <c r="E222">
        <v>41034</v>
      </c>
      <c r="F222">
        <v>40434</v>
      </c>
      <c r="G222">
        <v>40534</v>
      </c>
      <c r="H222">
        <v>2572.54</v>
      </c>
      <c r="I222">
        <v>33.299999999999997</v>
      </c>
    </row>
    <row r="223" spans="1:9" x14ac:dyDescent="0.35">
      <c r="A223">
        <v>2567</v>
      </c>
      <c r="B223" t="s">
        <v>14</v>
      </c>
      <c r="C223">
        <v>41622.06</v>
      </c>
      <c r="D223">
        <v>1363.12</v>
      </c>
      <c r="E223">
        <v>42985.19</v>
      </c>
      <c r="F223">
        <v>42385.19</v>
      </c>
      <c r="G223">
        <v>42485.19</v>
      </c>
      <c r="H223">
        <v>2691.3</v>
      </c>
      <c r="I223">
        <v>33.369999999999997</v>
      </c>
    </row>
    <row r="224" spans="1:9" x14ac:dyDescent="0.35">
      <c r="A224">
        <v>2567</v>
      </c>
      <c r="B224" t="s">
        <v>15</v>
      </c>
      <c r="C224">
        <v>42466.66</v>
      </c>
      <c r="D224">
        <v>1377.57</v>
      </c>
      <c r="E224">
        <v>43844.23</v>
      </c>
      <c r="F224">
        <v>43244.23</v>
      </c>
      <c r="G224">
        <v>43344.23</v>
      </c>
      <c r="H224">
        <v>2658.85</v>
      </c>
      <c r="I224">
        <v>34.450000000000003</v>
      </c>
    </row>
    <row r="225" spans="1:9" x14ac:dyDescent="0.35">
      <c r="A225">
        <v>2567</v>
      </c>
      <c r="B225" t="s">
        <v>16</v>
      </c>
      <c r="C225">
        <v>41858.51</v>
      </c>
      <c r="D225">
        <v>1366.49</v>
      </c>
      <c r="E225">
        <v>43225</v>
      </c>
      <c r="F225">
        <v>42625</v>
      </c>
      <c r="G225">
        <v>42725</v>
      </c>
      <c r="H225">
        <v>2640.67</v>
      </c>
      <c r="I225">
        <v>34.18</v>
      </c>
    </row>
    <row r="226" spans="1:9" x14ac:dyDescent="0.35">
      <c r="A226">
        <v>2568</v>
      </c>
      <c r="B226" t="s">
        <v>17</v>
      </c>
      <c r="C226">
        <v>42929.19</v>
      </c>
      <c r="D226">
        <v>1387.48</v>
      </c>
      <c r="E226">
        <v>44316.67</v>
      </c>
      <c r="F226">
        <v>43716.67</v>
      </c>
      <c r="G226">
        <v>43816.67</v>
      </c>
      <c r="H226">
        <v>2702.91</v>
      </c>
      <c r="I226">
        <v>34.270000000000003</v>
      </c>
    </row>
    <row r="227" spans="1:9" x14ac:dyDescent="0.35">
      <c r="A227">
        <v>2568</v>
      </c>
      <c r="B227" t="s">
        <v>18</v>
      </c>
      <c r="C227">
        <v>45310.71</v>
      </c>
      <c r="D227">
        <v>1428.87</v>
      </c>
      <c r="E227">
        <v>46739.58</v>
      </c>
      <c r="F227">
        <v>46139.58</v>
      </c>
      <c r="G227">
        <v>46239.58</v>
      </c>
      <c r="H227">
        <v>2892.25</v>
      </c>
      <c r="I227">
        <v>33.79</v>
      </c>
    </row>
    <row r="228" spans="1:9" x14ac:dyDescent="0.35">
      <c r="A228">
        <v>2568</v>
      </c>
      <c r="B228" t="s">
        <v>19</v>
      </c>
      <c r="C228">
        <v>46745.279999999999</v>
      </c>
      <c r="D228">
        <v>1756.65</v>
      </c>
      <c r="E228">
        <v>48501.919999999998</v>
      </c>
      <c r="F228">
        <v>47601.919999999998</v>
      </c>
      <c r="G228">
        <v>47701.919999999998</v>
      </c>
      <c r="H228">
        <v>2980.33</v>
      </c>
      <c r="I228">
        <v>33.83</v>
      </c>
    </row>
    <row r="229" spans="1:9" x14ac:dyDescent="0.35">
      <c r="A229">
        <v>2568</v>
      </c>
      <c r="B229" t="s">
        <v>20</v>
      </c>
      <c r="C229">
        <v>50516.62</v>
      </c>
      <c r="D229">
        <v>1825.69</v>
      </c>
      <c r="E229">
        <v>52342.31</v>
      </c>
      <c r="F229">
        <v>51442.31</v>
      </c>
      <c r="G229">
        <v>51542.31</v>
      </c>
      <c r="H229">
        <v>3227.62</v>
      </c>
      <c r="I229">
        <v>33.75</v>
      </c>
    </row>
    <row r="230" spans="1:9" x14ac:dyDescent="0.35">
      <c r="A230">
        <v>2568</v>
      </c>
      <c r="B230" t="s">
        <v>9</v>
      </c>
      <c r="C230">
        <v>50235.75</v>
      </c>
      <c r="D230">
        <v>1819.81</v>
      </c>
      <c r="E230">
        <v>52055.56</v>
      </c>
      <c r="F230">
        <v>51155.56</v>
      </c>
      <c r="G230">
        <v>51255.56</v>
      </c>
      <c r="H230">
        <v>3284.81</v>
      </c>
      <c r="I230">
        <v>32.97</v>
      </c>
    </row>
    <row r="231" spans="1:9" x14ac:dyDescent="0.35">
      <c r="A231">
        <v>2568</v>
      </c>
      <c r="B231" t="s">
        <v>10</v>
      </c>
      <c r="C231">
        <v>50607</v>
      </c>
      <c r="D231">
        <v>1933.39</v>
      </c>
      <c r="E231">
        <v>52540.38</v>
      </c>
      <c r="F231">
        <v>51640.38</v>
      </c>
      <c r="G231">
        <v>51740.38</v>
      </c>
      <c r="H231">
        <v>3350.88</v>
      </c>
      <c r="I231">
        <v>32.630000000000003</v>
      </c>
    </row>
    <row r="232" spans="1:9" x14ac:dyDescent="0.35">
      <c r="A232">
        <v>2568</v>
      </c>
      <c r="B232" t="s">
        <v>11</v>
      </c>
      <c r="C232">
        <v>50218.9</v>
      </c>
      <c r="D232">
        <v>1923.69</v>
      </c>
      <c r="E232">
        <v>52142.59</v>
      </c>
      <c r="F232">
        <v>51242.59</v>
      </c>
      <c r="G232">
        <v>51342.59</v>
      </c>
      <c r="H232">
        <v>3344.2</v>
      </c>
      <c r="I232">
        <v>32.44</v>
      </c>
    </row>
    <row r="233" spans="1:9" x14ac:dyDescent="0.35">
      <c r="A233">
        <v>2568</v>
      </c>
      <c r="B233" t="s">
        <v>12</v>
      </c>
      <c r="C233">
        <v>50507.87</v>
      </c>
      <c r="D233">
        <v>1930.59</v>
      </c>
      <c r="E233">
        <v>52438.46</v>
      </c>
      <c r="F233">
        <v>51538.46</v>
      </c>
      <c r="G233">
        <v>51638.46</v>
      </c>
      <c r="H233">
        <v>3363.65</v>
      </c>
      <c r="I233">
        <v>32.450000000000003</v>
      </c>
    </row>
    <row r="234" spans="1:9" x14ac:dyDescent="0.35">
      <c r="A234">
        <v>2568</v>
      </c>
      <c r="B234" t="s">
        <v>13</v>
      </c>
      <c r="C234">
        <v>54186.5</v>
      </c>
      <c r="D234">
        <v>2005.8</v>
      </c>
      <c r="E234">
        <v>56192.31</v>
      </c>
      <c r="F234">
        <v>55292.31</v>
      </c>
      <c r="G234">
        <v>55392.31</v>
      </c>
      <c r="H234">
        <v>3659.81</v>
      </c>
      <c r="I234">
        <v>31.99</v>
      </c>
    </row>
    <row r="235" spans="1:9" x14ac:dyDescent="0.35">
      <c r="A235">
        <v>2568</v>
      </c>
      <c r="B235" t="s">
        <v>14</v>
      </c>
      <c r="C235">
        <v>61275.6</v>
      </c>
      <c r="D235">
        <v>2150.33</v>
      </c>
      <c r="E235">
        <v>63425.93</v>
      </c>
      <c r="F235">
        <v>62525.93</v>
      </c>
      <c r="G235">
        <v>62625.93</v>
      </c>
      <c r="H235">
        <v>4059.78</v>
      </c>
      <c r="I235">
        <v>32.590000000000003</v>
      </c>
    </row>
    <row r="236" spans="1:9" x14ac:dyDescent="0.35">
      <c r="A236">
        <v>2568</v>
      </c>
      <c r="B236" t="s">
        <v>15</v>
      </c>
      <c r="C236">
        <v>61277.93</v>
      </c>
      <c r="D236">
        <v>2150.0700000000002</v>
      </c>
      <c r="E236">
        <v>63428</v>
      </c>
      <c r="F236">
        <v>62528</v>
      </c>
      <c r="G236">
        <v>62628</v>
      </c>
      <c r="H236">
        <v>4085.92</v>
      </c>
      <c r="I236">
        <v>32.4</v>
      </c>
    </row>
    <row r="237" spans="1:9" x14ac:dyDescent="0.35">
      <c r="A237">
        <v>2568</v>
      </c>
      <c r="B237" t="s">
        <v>16</v>
      </c>
      <c r="C237">
        <v>62265.91</v>
      </c>
      <c r="D237">
        <v>2171.59</v>
      </c>
      <c r="E237">
        <v>64437.5</v>
      </c>
      <c r="F237">
        <v>63537.5</v>
      </c>
      <c r="G237">
        <v>63637.5</v>
      </c>
      <c r="H237">
        <v>4210.5600000000004</v>
      </c>
      <c r="I237">
        <v>31.94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239"/>
  <sheetViews>
    <sheetView tabSelected="1" topLeftCell="A180" zoomScale="85" zoomScaleNormal="85" workbookViewId="0">
      <selection activeCell="AD229" sqref="AD229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tr">
        <f t="shared" ref="J1:P1" si="0">C1&amp;"_yoy"</f>
        <v>ทองรูปพรรณ รับซื้อ (บาท)_yoy</v>
      </c>
      <c r="K1" t="str">
        <f t="shared" si="0"/>
        <v>ทองรูปพรรณ ค่าธรรมเนียม (บาท)_yoy</v>
      </c>
      <c r="L1" t="str">
        <f t="shared" si="0"/>
        <v>ทองรูปพรรณ ขายออก (บาท)_yoy</v>
      </c>
      <c r="M1" t="str">
        <f t="shared" si="0"/>
        <v>ทองแท่ง รับซื้อ (บาท)_yoy</v>
      </c>
      <c r="N1" t="str">
        <f t="shared" si="0"/>
        <v>ทองแท่ง ขายออก (บาท)_yoy</v>
      </c>
      <c r="O1" t="str">
        <f t="shared" si="0"/>
        <v>US$ ต่อออนซ์_yoy</v>
      </c>
      <c r="P1" t="str">
        <f t="shared" si="0"/>
        <v>Baht / US$_yoy</v>
      </c>
    </row>
    <row r="2" spans="1:16" hidden="1" x14ac:dyDescent="0.35">
      <c r="A2">
        <v>2549</v>
      </c>
      <c r="B2" t="s">
        <v>9</v>
      </c>
      <c r="C2">
        <v>11892.11</v>
      </c>
      <c r="D2">
        <v>673.89</v>
      </c>
      <c r="E2">
        <v>12566</v>
      </c>
      <c r="F2">
        <v>12066</v>
      </c>
      <c r="G2">
        <v>12166</v>
      </c>
      <c r="H2">
        <v>669.28</v>
      </c>
      <c r="I2">
        <v>38.07</v>
      </c>
    </row>
    <row r="3" spans="1:16" hidden="1" x14ac:dyDescent="0.35">
      <c r="A3">
        <v>2549</v>
      </c>
      <c r="B3" t="s">
        <v>10</v>
      </c>
      <c r="C3">
        <v>10688.43</v>
      </c>
      <c r="D3">
        <v>655.32000000000005</v>
      </c>
      <c r="E3">
        <v>11343.75</v>
      </c>
      <c r="F3">
        <v>10843.75</v>
      </c>
      <c r="G3">
        <v>10943.75</v>
      </c>
      <c r="H3">
        <v>598.63</v>
      </c>
      <c r="I3">
        <v>38.39</v>
      </c>
    </row>
    <row r="4" spans="1:16" hidden="1" x14ac:dyDescent="0.35">
      <c r="A4">
        <v>2549</v>
      </c>
      <c r="B4" t="s">
        <v>11</v>
      </c>
      <c r="C4">
        <v>11191.58</v>
      </c>
      <c r="D4">
        <v>664.19</v>
      </c>
      <c r="E4">
        <v>11855.77</v>
      </c>
      <c r="F4">
        <v>11355.77</v>
      </c>
      <c r="G4">
        <v>11455.77</v>
      </c>
      <c r="H4">
        <v>635.80999999999995</v>
      </c>
      <c r="I4">
        <v>38.020000000000003</v>
      </c>
    </row>
    <row r="5" spans="1:16" hidden="1" x14ac:dyDescent="0.35">
      <c r="A5">
        <v>2549</v>
      </c>
      <c r="B5" t="s">
        <v>12</v>
      </c>
      <c r="C5">
        <v>11037.65</v>
      </c>
      <c r="D5">
        <v>660.43</v>
      </c>
      <c r="E5">
        <v>11698.08</v>
      </c>
      <c r="F5">
        <v>11198.08</v>
      </c>
      <c r="G5">
        <v>11298.08</v>
      </c>
      <c r="H5">
        <v>631.38</v>
      </c>
      <c r="I5">
        <v>37.64</v>
      </c>
    </row>
    <row r="6" spans="1:16" hidden="1" x14ac:dyDescent="0.35">
      <c r="A6">
        <v>2549</v>
      </c>
      <c r="B6" t="s">
        <v>13</v>
      </c>
      <c r="C6">
        <v>10452.52</v>
      </c>
      <c r="D6">
        <v>653.48</v>
      </c>
      <c r="E6">
        <v>11106</v>
      </c>
      <c r="F6">
        <v>10606</v>
      </c>
      <c r="G6">
        <v>10706</v>
      </c>
      <c r="H6">
        <v>602.41</v>
      </c>
      <c r="I6">
        <v>37.450000000000003</v>
      </c>
    </row>
    <row r="7" spans="1:16" hidden="1" x14ac:dyDescent="0.35">
      <c r="A7">
        <v>2549</v>
      </c>
      <c r="B7" t="s">
        <v>14</v>
      </c>
      <c r="C7">
        <v>10177.82</v>
      </c>
      <c r="D7">
        <v>650.17999999999995</v>
      </c>
      <c r="E7">
        <v>10828</v>
      </c>
      <c r="F7">
        <v>10328</v>
      </c>
      <c r="G7">
        <v>10428</v>
      </c>
      <c r="H7">
        <v>587.35</v>
      </c>
      <c r="I7">
        <v>37.36</v>
      </c>
    </row>
    <row r="8" spans="1:16" hidden="1" x14ac:dyDescent="0.35">
      <c r="A8">
        <v>2549</v>
      </c>
      <c r="B8" t="s">
        <v>15</v>
      </c>
      <c r="C8">
        <v>10593.34</v>
      </c>
      <c r="D8">
        <v>654.74</v>
      </c>
      <c r="E8">
        <v>11248.08</v>
      </c>
      <c r="F8">
        <v>10748.08</v>
      </c>
      <c r="G8">
        <v>10848.08</v>
      </c>
      <c r="H8">
        <v>627.24</v>
      </c>
      <c r="I8">
        <v>36.58</v>
      </c>
    </row>
    <row r="9" spans="1:16" hidden="1" x14ac:dyDescent="0.35">
      <c r="A9">
        <v>2549</v>
      </c>
      <c r="B9" t="s">
        <v>16</v>
      </c>
      <c r="C9">
        <v>10446.450000000001</v>
      </c>
      <c r="D9">
        <v>653.54999999999995</v>
      </c>
      <c r="E9">
        <v>11100</v>
      </c>
      <c r="F9">
        <v>10600</v>
      </c>
      <c r="G9">
        <v>10700</v>
      </c>
      <c r="H9">
        <v>627.87</v>
      </c>
      <c r="I9">
        <v>35.86</v>
      </c>
    </row>
    <row r="10" spans="1:16" hidden="1" x14ac:dyDescent="0.35">
      <c r="A10">
        <v>2550</v>
      </c>
      <c r="B10" t="s">
        <v>17</v>
      </c>
      <c r="C10">
        <v>10481.620000000001</v>
      </c>
      <c r="D10">
        <v>654.38</v>
      </c>
      <c r="E10">
        <v>11136</v>
      </c>
      <c r="F10">
        <v>10636</v>
      </c>
      <c r="G10">
        <v>10736</v>
      </c>
      <c r="H10">
        <v>629.54999999999995</v>
      </c>
      <c r="I10">
        <v>35.99</v>
      </c>
    </row>
    <row r="11" spans="1:16" hidden="1" x14ac:dyDescent="0.35">
      <c r="A11">
        <v>2550</v>
      </c>
      <c r="B11" t="s">
        <v>18</v>
      </c>
      <c r="C11">
        <v>10945.52</v>
      </c>
      <c r="D11">
        <v>659.03</v>
      </c>
      <c r="E11">
        <v>11604.55</v>
      </c>
      <c r="F11">
        <v>11104.55</v>
      </c>
      <c r="G11">
        <v>11204.55</v>
      </c>
      <c r="H11">
        <v>664.88</v>
      </c>
      <c r="I11">
        <v>35.76</v>
      </c>
    </row>
    <row r="12" spans="1:16" hidden="1" x14ac:dyDescent="0.35">
      <c r="A12">
        <v>2550</v>
      </c>
      <c r="B12" t="s">
        <v>19</v>
      </c>
      <c r="C12">
        <v>10693.98</v>
      </c>
      <c r="D12">
        <v>657.88</v>
      </c>
      <c r="E12">
        <v>11351.85</v>
      </c>
      <c r="F12">
        <v>10851.85</v>
      </c>
      <c r="G12">
        <v>10951.85</v>
      </c>
      <c r="H12">
        <v>655.69</v>
      </c>
      <c r="I12">
        <v>35.14</v>
      </c>
    </row>
    <row r="13" spans="1:16" hidden="1" x14ac:dyDescent="0.35">
      <c r="A13">
        <v>2550</v>
      </c>
      <c r="B13" t="s">
        <v>20</v>
      </c>
      <c r="C13">
        <v>10961.34</v>
      </c>
      <c r="D13">
        <v>662.57</v>
      </c>
      <c r="E13">
        <v>11623.91</v>
      </c>
      <c r="F13">
        <v>11123.91</v>
      </c>
      <c r="G13">
        <v>11223.91</v>
      </c>
      <c r="H13">
        <v>678.82</v>
      </c>
      <c r="I13">
        <v>34.9</v>
      </c>
    </row>
    <row r="14" spans="1:16" hidden="1" x14ac:dyDescent="0.35">
      <c r="A14">
        <v>2550</v>
      </c>
      <c r="B14" t="s">
        <v>9</v>
      </c>
      <c r="C14">
        <v>10755.39</v>
      </c>
      <c r="D14">
        <v>657.11</v>
      </c>
      <c r="E14">
        <v>11412.5</v>
      </c>
      <c r="F14">
        <v>10912.5</v>
      </c>
      <c r="G14">
        <v>11012.5</v>
      </c>
      <c r="H14">
        <v>668.4</v>
      </c>
      <c r="I14">
        <v>34.65</v>
      </c>
      <c r="J14" s="2">
        <f t="shared" ref="J14:J77" si="1">C14/C2*100-100</f>
        <v>-9.5586065046488926</v>
      </c>
      <c r="K14" s="2">
        <f t="shared" ref="K14:K77" si="2">D14/D2*100-100</f>
        <v>-2.4900206265117504</v>
      </c>
      <c r="L14" s="2">
        <f t="shared" ref="L14:L77" si="3">E14/E2*100-100</f>
        <v>-9.1795320706668804</v>
      </c>
      <c r="M14" s="2">
        <f t="shared" ref="M14:M77" si="4">F14/F2*100-100</f>
        <v>-9.5599204375932345</v>
      </c>
      <c r="N14" s="2">
        <f t="shared" ref="N14:N77" si="5">G14/G2*100-100</f>
        <v>-9.4813414433667589</v>
      </c>
      <c r="O14" s="2">
        <f t="shared" ref="O14:O77" si="6">H14/H2*100-100</f>
        <v>-0.13148458044464917</v>
      </c>
      <c r="P14" s="2">
        <f t="shared" ref="P14:P77" si="7">I14/I2*100-100</f>
        <v>-8.983451536643031</v>
      </c>
    </row>
    <row r="15" spans="1:16" hidden="1" x14ac:dyDescent="0.35">
      <c r="A15">
        <v>2550</v>
      </c>
      <c r="B15" t="s">
        <v>10</v>
      </c>
      <c r="C15">
        <v>10544.95</v>
      </c>
      <c r="D15">
        <v>653.13</v>
      </c>
      <c r="E15">
        <v>11198.08</v>
      </c>
      <c r="F15">
        <v>10698.08</v>
      </c>
      <c r="G15">
        <v>10798.08</v>
      </c>
      <c r="H15">
        <v>656.5</v>
      </c>
      <c r="I15">
        <v>34.61</v>
      </c>
      <c r="J15" s="2">
        <f t="shared" si="1"/>
        <v>-1.3423861128341485</v>
      </c>
      <c r="K15" s="2">
        <f t="shared" si="2"/>
        <v>-0.33418787767809022</v>
      </c>
      <c r="L15" s="2">
        <f t="shared" si="3"/>
        <v>-1.2841432506887145</v>
      </c>
      <c r="M15" s="2">
        <f t="shared" si="4"/>
        <v>-1.3433544668587984</v>
      </c>
      <c r="N15" s="2">
        <f t="shared" si="5"/>
        <v>-1.3310793832095982</v>
      </c>
      <c r="O15" s="2">
        <f t="shared" si="6"/>
        <v>9.6670731503599967</v>
      </c>
      <c r="P15" s="2">
        <f t="shared" si="7"/>
        <v>-9.8463141443084226</v>
      </c>
    </row>
    <row r="16" spans="1:16" hidden="1" x14ac:dyDescent="0.35">
      <c r="A16">
        <v>2550</v>
      </c>
      <c r="B16" t="s">
        <v>11</v>
      </c>
      <c r="C16">
        <v>10422.200000000001</v>
      </c>
      <c r="D16">
        <v>651.79999999999995</v>
      </c>
      <c r="E16">
        <v>11074</v>
      </c>
      <c r="F16">
        <v>10574</v>
      </c>
      <c r="G16">
        <v>10674</v>
      </c>
      <c r="H16">
        <v>665.86</v>
      </c>
      <c r="I16">
        <v>33.74</v>
      </c>
      <c r="J16" s="2">
        <f t="shared" si="1"/>
        <v>-6.874632536245997</v>
      </c>
      <c r="K16" s="2">
        <f t="shared" si="2"/>
        <v>-1.8654300727201729</v>
      </c>
      <c r="L16" s="2">
        <f t="shared" si="3"/>
        <v>-6.594004438345209</v>
      </c>
      <c r="M16" s="2">
        <f t="shared" si="4"/>
        <v>-6.884341616640711</v>
      </c>
      <c r="N16" s="2">
        <f t="shared" si="5"/>
        <v>-6.8242466460133215</v>
      </c>
      <c r="O16" s="2">
        <f t="shared" si="6"/>
        <v>4.7262546987307559</v>
      </c>
      <c r="P16" s="2">
        <f t="shared" si="7"/>
        <v>-11.25723303524461</v>
      </c>
    </row>
    <row r="17" spans="1:16" hidden="1" x14ac:dyDescent="0.35">
      <c r="A17">
        <v>2550</v>
      </c>
      <c r="B17" t="s">
        <v>12</v>
      </c>
      <c r="C17">
        <v>10531.54</v>
      </c>
      <c r="D17">
        <v>653.08000000000004</v>
      </c>
      <c r="E17">
        <v>11184.62</v>
      </c>
      <c r="F17">
        <v>10684.62</v>
      </c>
      <c r="G17">
        <v>10784.62</v>
      </c>
      <c r="H17">
        <v>665.12</v>
      </c>
      <c r="I17">
        <v>34.22</v>
      </c>
      <c r="J17" s="2">
        <f t="shared" si="1"/>
        <v>-4.5853057489592288</v>
      </c>
      <c r="K17" s="2">
        <f t="shared" si="2"/>
        <v>-1.1129112850718315</v>
      </c>
      <c r="L17" s="2">
        <f t="shared" si="3"/>
        <v>-4.3892672985652297</v>
      </c>
      <c r="M17" s="2">
        <f t="shared" si="4"/>
        <v>-4.5852503286277511</v>
      </c>
      <c r="N17" s="2">
        <f t="shared" si="5"/>
        <v>-4.5446659963462821</v>
      </c>
      <c r="O17" s="2">
        <f t="shared" si="6"/>
        <v>5.3438499794101801</v>
      </c>
      <c r="P17" s="2">
        <f t="shared" si="7"/>
        <v>-9.0860786397449544</v>
      </c>
    </row>
    <row r="18" spans="1:16" hidden="1" x14ac:dyDescent="0.35">
      <c r="A18">
        <v>2550</v>
      </c>
      <c r="B18" t="s">
        <v>13</v>
      </c>
      <c r="C18">
        <v>11197.18</v>
      </c>
      <c r="D18">
        <v>662.82</v>
      </c>
      <c r="E18">
        <v>11860</v>
      </c>
      <c r="F18">
        <v>11360</v>
      </c>
      <c r="G18">
        <v>11460</v>
      </c>
      <c r="H18">
        <v>710.18</v>
      </c>
      <c r="I18">
        <v>34.28</v>
      </c>
      <c r="J18" s="2">
        <f t="shared" si="1"/>
        <v>7.1242150218320432</v>
      </c>
      <c r="K18" s="2">
        <f t="shared" si="2"/>
        <v>1.4292709799840821</v>
      </c>
      <c r="L18" s="2">
        <f t="shared" si="3"/>
        <v>6.7891229965784277</v>
      </c>
      <c r="M18" s="2">
        <f t="shared" si="4"/>
        <v>7.1091834810484471</v>
      </c>
      <c r="N18" s="2">
        <f t="shared" si="5"/>
        <v>7.0427797496730875</v>
      </c>
      <c r="O18" s="2">
        <f t="shared" si="6"/>
        <v>17.889809266114426</v>
      </c>
      <c r="P18" s="2">
        <f t="shared" si="7"/>
        <v>-8.4646194926568796</v>
      </c>
    </row>
    <row r="19" spans="1:16" hidden="1" x14ac:dyDescent="0.35">
      <c r="A19">
        <v>2550</v>
      </c>
      <c r="B19" t="s">
        <v>14</v>
      </c>
      <c r="C19">
        <v>11891.85</v>
      </c>
      <c r="D19">
        <v>673.53</v>
      </c>
      <c r="E19">
        <v>12565.38</v>
      </c>
      <c r="F19">
        <v>12065.38</v>
      </c>
      <c r="G19">
        <v>12165.38</v>
      </c>
      <c r="H19">
        <v>755.25</v>
      </c>
      <c r="I19">
        <v>34.19</v>
      </c>
      <c r="J19" s="2">
        <f t="shared" si="1"/>
        <v>16.840836249805974</v>
      </c>
      <c r="K19" s="2">
        <f t="shared" si="2"/>
        <v>3.5913131748131377</v>
      </c>
      <c r="L19" s="2">
        <f t="shared" si="3"/>
        <v>16.045253047654228</v>
      </c>
      <c r="M19" s="2">
        <f t="shared" si="4"/>
        <v>16.822037180480237</v>
      </c>
      <c r="N19" s="2">
        <f t="shared" si="5"/>
        <v>16.660721135404671</v>
      </c>
      <c r="O19" s="2">
        <f t="shared" si="6"/>
        <v>28.586021963054407</v>
      </c>
      <c r="P19" s="2">
        <f t="shared" si="7"/>
        <v>-8.4850107066381213</v>
      </c>
    </row>
    <row r="20" spans="1:16" hidden="1" x14ac:dyDescent="0.35">
      <c r="A20">
        <v>2550</v>
      </c>
      <c r="B20" t="s">
        <v>15</v>
      </c>
      <c r="C20">
        <v>12656.27</v>
      </c>
      <c r="D20">
        <v>684.12</v>
      </c>
      <c r="E20">
        <v>13340.38</v>
      </c>
      <c r="F20">
        <v>12840.38</v>
      </c>
      <c r="G20">
        <v>12940.38</v>
      </c>
      <c r="H20">
        <v>808.53</v>
      </c>
      <c r="I20">
        <v>33.9</v>
      </c>
      <c r="J20" s="2">
        <f t="shared" si="1"/>
        <v>19.47383922351213</v>
      </c>
      <c r="K20" s="2">
        <f t="shared" si="2"/>
        <v>4.4872773925527696</v>
      </c>
      <c r="L20" s="2">
        <f t="shared" si="3"/>
        <v>18.601396860619772</v>
      </c>
      <c r="M20" s="2">
        <f t="shared" si="4"/>
        <v>19.466732662950022</v>
      </c>
      <c r="N20" s="2">
        <f t="shared" si="5"/>
        <v>19.287284017079514</v>
      </c>
      <c r="O20" s="2">
        <f t="shared" si="6"/>
        <v>28.902812320642795</v>
      </c>
      <c r="P20" s="2">
        <f t="shared" si="7"/>
        <v>-7.3264078731547215</v>
      </c>
    </row>
    <row r="21" spans="1:16" hidden="1" x14ac:dyDescent="0.35">
      <c r="A21">
        <v>2550</v>
      </c>
      <c r="B21" t="s">
        <v>16</v>
      </c>
      <c r="C21">
        <v>12554.38</v>
      </c>
      <c r="D21">
        <v>685.21</v>
      </c>
      <c r="E21">
        <v>13239.58</v>
      </c>
      <c r="F21">
        <v>12739.58</v>
      </c>
      <c r="G21">
        <v>12839.58</v>
      </c>
      <c r="H21">
        <v>805.26</v>
      </c>
      <c r="I21">
        <v>33.729999999999997</v>
      </c>
      <c r="J21" s="2">
        <f t="shared" si="1"/>
        <v>20.178433822016075</v>
      </c>
      <c r="K21" s="2">
        <f t="shared" si="2"/>
        <v>4.8443118353607417</v>
      </c>
      <c r="L21" s="2">
        <f t="shared" si="3"/>
        <v>19.275495495495505</v>
      </c>
      <c r="M21" s="2">
        <f t="shared" si="4"/>
        <v>20.18471698113207</v>
      </c>
      <c r="N21" s="2">
        <f t="shared" si="5"/>
        <v>19.99607476635515</v>
      </c>
      <c r="O21" s="2">
        <f t="shared" si="6"/>
        <v>28.252663767977424</v>
      </c>
      <c r="P21" s="2">
        <f t="shared" si="7"/>
        <v>-5.9397657557166923</v>
      </c>
    </row>
    <row r="22" spans="1:16" hidden="1" x14ac:dyDescent="0.35">
      <c r="A22">
        <v>2551</v>
      </c>
      <c r="B22" t="s">
        <v>17</v>
      </c>
      <c r="C22">
        <v>13623.38</v>
      </c>
      <c r="D22">
        <v>702.62</v>
      </c>
      <c r="E22">
        <v>14326</v>
      </c>
      <c r="F22">
        <v>13826</v>
      </c>
      <c r="G22">
        <v>13926</v>
      </c>
      <c r="H22">
        <v>890.31</v>
      </c>
      <c r="I22">
        <v>33.18</v>
      </c>
      <c r="J22" s="2">
        <f t="shared" si="1"/>
        <v>29.973992569850822</v>
      </c>
      <c r="K22" s="2">
        <f t="shared" si="2"/>
        <v>7.371863443259258</v>
      </c>
      <c r="L22" s="2">
        <f t="shared" si="3"/>
        <v>28.645833333333314</v>
      </c>
      <c r="M22" s="2">
        <f t="shared" si="4"/>
        <v>29.992478375329085</v>
      </c>
      <c r="N22" s="2">
        <f t="shared" si="5"/>
        <v>29.71311475409837</v>
      </c>
      <c r="O22" s="2">
        <f t="shared" si="6"/>
        <v>41.420061949011199</v>
      </c>
      <c r="P22" s="2">
        <f t="shared" si="7"/>
        <v>-7.8077243678799704</v>
      </c>
    </row>
    <row r="23" spans="1:16" hidden="1" x14ac:dyDescent="0.35">
      <c r="A23">
        <v>2551</v>
      </c>
      <c r="B23" t="s">
        <v>18</v>
      </c>
      <c r="C23">
        <v>13917.6</v>
      </c>
      <c r="D23">
        <v>703.83</v>
      </c>
      <c r="E23">
        <v>14621.43</v>
      </c>
      <c r="F23">
        <v>14121.43</v>
      </c>
      <c r="G23">
        <v>14221.43</v>
      </c>
      <c r="H23">
        <v>922.51</v>
      </c>
      <c r="I23">
        <v>32.6</v>
      </c>
      <c r="J23" s="2">
        <f t="shared" si="1"/>
        <v>27.153392438184753</v>
      </c>
      <c r="K23" s="2">
        <f t="shared" si="2"/>
        <v>6.7978695962247713</v>
      </c>
      <c r="L23" s="2">
        <f t="shared" si="3"/>
        <v>25.997388955194296</v>
      </c>
      <c r="M23" s="2">
        <f t="shared" si="4"/>
        <v>27.167962681963715</v>
      </c>
      <c r="N23" s="2">
        <f t="shared" si="5"/>
        <v>26.92549009107907</v>
      </c>
      <c r="O23" s="2">
        <f t="shared" si="6"/>
        <v>38.748345566117194</v>
      </c>
      <c r="P23" s="2">
        <f t="shared" si="7"/>
        <v>-8.8366890380313095</v>
      </c>
    </row>
    <row r="24" spans="1:16" hidden="1" x14ac:dyDescent="0.35">
      <c r="A24">
        <v>2551</v>
      </c>
      <c r="B24" t="s">
        <v>19</v>
      </c>
      <c r="C24">
        <v>14148.77</v>
      </c>
      <c r="D24">
        <v>706.78</v>
      </c>
      <c r="E24">
        <v>14855.56</v>
      </c>
      <c r="F24">
        <v>14355.56</v>
      </c>
      <c r="G24">
        <v>14455.56</v>
      </c>
      <c r="H24">
        <v>970.1</v>
      </c>
      <c r="I24">
        <v>31.49</v>
      </c>
      <c r="J24" s="2">
        <f t="shared" si="1"/>
        <v>32.305932870643119</v>
      </c>
      <c r="K24" s="2">
        <f t="shared" si="2"/>
        <v>7.4329664984495594</v>
      </c>
      <c r="L24" s="2">
        <f t="shared" si="3"/>
        <v>30.864660826208933</v>
      </c>
      <c r="M24" s="2">
        <f t="shared" si="4"/>
        <v>32.286752949957844</v>
      </c>
      <c r="N24" s="2">
        <f t="shared" si="5"/>
        <v>31.99194656610527</v>
      </c>
      <c r="O24" s="2">
        <f t="shared" si="6"/>
        <v>47.95101343622747</v>
      </c>
      <c r="P24" s="2">
        <f t="shared" si="7"/>
        <v>-10.387023335230509</v>
      </c>
    </row>
    <row r="25" spans="1:16" hidden="1" x14ac:dyDescent="0.35">
      <c r="A25">
        <v>2551</v>
      </c>
      <c r="B25" t="s">
        <v>20</v>
      </c>
      <c r="C25">
        <v>13423.55</v>
      </c>
      <c r="D25">
        <v>695.2</v>
      </c>
      <c r="E25">
        <v>14118.75</v>
      </c>
      <c r="F25">
        <v>13618.75</v>
      </c>
      <c r="G25">
        <v>13718.75</v>
      </c>
      <c r="H25">
        <v>911.18</v>
      </c>
      <c r="I25">
        <v>31.62</v>
      </c>
      <c r="J25" s="2">
        <f t="shared" si="1"/>
        <v>22.462673359279052</v>
      </c>
      <c r="K25" s="2">
        <f t="shared" si="2"/>
        <v>4.9247626665861617</v>
      </c>
      <c r="L25" s="2">
        <f t="shared" si="3"/>
        <v>21.463001692201672</v>
      </c>
      <c r="M25" s="2">
        <f t="shared" si="4"/>
        <v>22.427725502993098</v>
      </c>
      <c r="N25" s="2">
        <f t="shared" si="5"/>
        <v>22.227904535941562</v>
      </c>
      <c r="O25" s="2">
        <f t="shared" si="6"/>
        <v>34.229987330956646</v>
      </c>
      <c r="P25" s="2">
        <f t="shared" si="7"/>
        <v>-9.3982808022922626</v>
      </c>
    </row>
    <row r="26" spans="1:16" hidden="1" x14ac:dyDescent="0.35">
      <c r="A26">
        <v>2551</v>
      </c>
      <c r="B26" t="s">
        <v>9</v>
      </c>
      <c r="C26">
        <v>13294.06</v>
      </c>
      <c r="D26">
        <v>695.53</v>
      </c>
      <c r="E26">
        <v>13989.58</v>
      </c>
      <c r="F26">
        <v>13489.58</v>
      </c>
      <c r="G26">
        <v>13589.58</v>
      </c>
      <c r="H26">
        <v>891</v>
      </c>
      <c r="I26">
        <v>32.11</v>
      </c>
      <c r="J26" s="2">
        <f t="shared" si="1"/>
        <v>23.603700098276306</v>
      </c>
      <c r="K26" s="2">
        <f t="shared" si="2"/>
        <v>5.8468140798344308</v>
      </c>
      <c r="L26" s="2">
        <f t="shared" si="3"/>
        <v>22.581204819277104</v>
      </c>
      <c r="M26" s="2">
        <f t="shared" si="4"/>
        <v>23.615853379152355</v>
      </c>
      <c r="N26" s="2">
        <f t="shared" si="5"/>
        <v>23.401407491486935</v>
      </c>
      <c r="O26" s="2">
        <f t="shared" si="6"/>
        <v>33.303411131059249</v>
      </c>
      <c r="P26" s="2">
        <f t="shared" si="7"/>
        <v>-7.3304473304473277</v>
      </c>
    </row>
    <row r="27" spans="1:16" hidden="1" x14ac:dyDescent="0.35">
      <c r="A27">
        <v>2551</v>
      </c>
      <c r="B27" t="s">
        <v>10</v>
      </c>
      <c r="C27">
        <v>13677.48</v>
      </c>
      <c r="D27">
        <v>701.69</v>
      </c>
      <c r="E27">
        <v>14379.17</v>
      </c>
      <c r="F27">
        <v>13879.17</v>
      </c>
      <c r="G27">
        <v>13979.17</v>
      </c>
      <c r="H27">
        <v>886.86</v>
      </c>
      <c r="I27">
        <v>33.21</v>
      </c>
      <c r="J27" s="2">
        <f t="shared" si="1"/>
        <v>29.706447161911626</v>
      </c>
      <c r="K27" s="2">
        <f t="shared" si="2"/>
        <v>7.4349670050372936</v>
      </c>
      <c r="L27" s="2">
        <f t="shared" si="3"/>
        <v>28.407459135851866</v>
      </c>
      <c r="M27" s="2">
        <f t="shared" si="4"/>
        <v>29.73514873696962</v>
      </c>
      <c r="N27" s="2">
        <f t="shared" si="5"/>
        <v>29.459774330251321</v>
      </c>
      <c r="O27" s="2">
        <f t="shared" si="6"/>
        <v>35.089108910891099</v>
      </c>
      <c r="P27" s="2">
        <f t="shared" si="7"/>
        <v>-4.0450736781277072</v>
      </c>
    </row>
    <row r="28" spans="1:16" hidden="1" x14ac:dyDescent="0.35">
      <c r="A28">
        <v>2551</v>
      </c>
      <c r="B28" t="s">
        <v>11</v>
      </c>
      <c r="C28">
        <v>14602.58</v>
      </c>
      <c r="D28">
        <v>712.81</v>
      </c>
      <c r="E28">
        <v>15315.38</v>
      </c>
      <c r="F28">
        <v>14815.38</v>
      </c>
      <c r="G28">
        <v>14915.38</v>
      </c>
      <c r="H28">
        <v>940.47</v>
      </c>
      <c r="I28">
        <v>33.5</v>
      </c>
      <c r="J28" s="2">
        <f t="shared" si="1"/>
        <v>40.110341386655392</v>
      </c>
      <c r="K28" s="2">
        <f t="shared" si="2"/>
        <v>9.3602332003682136</v>
      </c>
      <c r="L28" s="2">
        <f t="shared" si="3"/>
        <v>38.300343146107991</v>
      </c>
      <c r="M28" s="2">
        <f t="shared" si="4"/>
        <v>40.111405333837695</v>
      </c>
      <c r="N28" s="2">
        <f t="shared" si="5"/>
        <v>39.735619261757535</v>
      </c>
      <c r="O28" s="2">
        <f t="shared" si="6"/>
        <v>41.241402096536831</v>
      </c>
      <c r="P28" s="2">
        <f t="shared" si="7"/>
        <v>-0.71132187314761097</v>
      </c>
    </row>
    <row r="29" spans="1:16" hidden="1" x14ac:dyDescent="0.35">
      <c r="A29">
        <v>2551</v>
      </c>
      <c r="B29" t="s">
        <v>12</v>
      </c>
      <c r="C29">
        <v>13336.56</v>
      </c>
      <c r="D29">
        <v>695.44</v>
      </c>
      <c r="E29">
        <v>14032</v>
      </c>
      <c r="F29">
        <v>13532</v>
      </c>
      <c r="G29">
        <v>13632</v>
      </c>
      <c r="H29">
        <v>846.91</v>
      </c>
      <c r="I29">
        <v>33.85</v>
      </c>
      <c r="J29" s="2">
        <f t="shared" si="1"/>
        <v>26.634471311887893</v>
      </c>
      <c r="K29" s="2">
        <f t="shared" si="2"/>
        <v>6.4861885220799849</v>
      </c>
      <c r="L29" s="2">
        <f t="shared" si="3"/>
        <v>25.457994996700833</v>
      </c>
      <c r="M29" s="2">
        <f t="shared" si="4"/>
        <v>26.649333340820718</v>
      </c>
      <c r="N29" s="2">
        <f t="shared" si="5"/>
        <v>26.402228358532781</v>
      </c>
      <c r="O29" s="2">
        <f t="shared" si="6"/>
        <v>27.331910031272557</v>
      </c>
      <c r="P29" s="2">
        <f t="shared" si="7"/>
        <v>-1.0812390414961897</v>
      </c>
    </row>
    <row r="30" spans="1:16" hidden="1" x14ac:dyDescent="0.35">
      <c r="A30">
        <v>2551</v>
      </c>
      <c r="B30" t="s">
        <v>13</v>
      </c>
      <c r="C30">
        <v>13097.66</v>
      </c>
      <c r="D30">
        <v>692.73</v>
      </c>
      <c r="E30">
        <v>13790.38</v>
      </c>
      <c r="F30">
        <v>13290.38</v>
      </c>
      <c r="G30">
        <v>13390.38</v>
      </c>
      <c r="H30">
        <v>826.69</v>
      </c>
      <c r="I30">
        <v>34.31</v>
      </c>
      <c r="J30" s="2">
        <f t="shared" si="1"/>
        <v>16.972844948460235</v>
      </c>
      <c r="K30" s="2">
        <f t="shared" si="2"/>
        <v>4.5125373404544291</v>
      </c>
      <c r="L30" s="2">
        <f t="shared" si="3"/>
        <v>16.276391231028668</v>
      </c>
      <c r="M30" s="2">
        <f t="shared" si="4"/>
        <v>16.992781690140845</v>
      </c>
      <c r="N30" s="2">
        <f t="shared" si="5"/>
        <v>16.844502617801041</v>
      </c>
      <c r="O30" s="2">
        <f t="shared" si="6"/>
        <v>16.40569996338958</v>
      </c>
      <c r="P30" s="2">
        <f t="shared" si="7"/>
        <v>8.7514585764296271E-2</v>
      </c>
    </row>
    <row r="31" spans="1:16" hidden="1" x14ac:dyDescent="0.35">
      <c r="A31">
        <v>2551</v>
      </c>
      <c r="B31" t="s">
        <v>14</v>
      </c>
      <c r="C31">
        <v>13156.07</v>
      </c>
      <c r="D31">
        <v>693.93</v>
      </c>
      <c r="E31">
        <v>13850</v>
      </c>
      <c r="F31">
        <v>13350</v>
      </c>
      <c r="G31">
        <v>13450</v>
      </c>
      <c r="H31">
        <v>813.02</v>
      </c>
      <c r="I31">
        <v>34.450000000000003</v>
      </c>
      <c r="J31" s="2">
        <f t="shared" si="1"/>
        <v>10.630978359128292</v>
      </c>
      <c r="K31" s="2">
        <f t="shared" si="2"/>
        <v>3.028818315442507</v>
      </c>
      <c r="L31" s="2">
        <f t="shared" si="3"/>
        <v>10.223487073212283</v>
      </c>
      <c r="M31" s="2">
        <f t="shared" si="4"/>
        <v>10.647157404076808</v>
      </c>
      <c r="N31" s="2">
        <f t="shared" si="5"/>
        <v>10.559637265749203</v>
      </c>
      <c r="O31" s="2">
        <f t="shared" si="6"/>
        <v>7.6491228070175481</v>
      </c>
      <c r="P31" s="2">
        <f t="shared" si="7"/>
        <v>0.76045627376426239</v>
      </c>
    </row>
    <row r="32" spans="1:16" hidden="1" x14ac:dyDescent="0.35">
      <c r="A32">
        <v>2551</v>
      </c>
      <c r="B32" t="s">
        <v>15</v>
      </c>
      <c r="C32">
        <v>12428.67</v>
      </c>
      <c r="D32">
        <v>681.74</v>
      </c>
      <c r="E32">
        <v>13110.42</v>
      </c>
      <c r="F32">
        <v>12610.42</v>
      </c>
      <c r="G32">
        <v>12710.42</v>
      </c>
      <c r="H32">
        <v>759.82</v>
      </c>
      <c r="I32">
        <v>35.1</v>
      </c>
      <c r="J32" s="2">
        <f t="shared" si="1"/>
        <v>-1.7983181458676256</v>
      </c>
      <c r="K32" s="2">
        <f t="shared" si="2"/>
        <v>-0.3478921826580148</v>
      </c>
      <c r="L32" s="2">
        <f t="shared" si="3"/>
        <v>-1.7237889775253734</v>
      </c>
      <c r="M32" s="2">
        <f t="shared" si="4"/>
        <v>-1.7909127299970891</v>
      </c>
      <c r="N32" s="2">
        <f t="shared" si="5"/>
        <v>-1.7770730071296157</v>
      </c>
      <c r="O32" s="2">
        <f t="shared" si="6"/>
        <v>-6.0245136234895398</v>
      </c>
      <c r="P32" s="2">
        <f t="shared" si="7"/>
        <v>3.5398230088495666</v>
      </c>
    </row>
    <row r="33" spans="1:16" hidden="1" x14ac:dyDescent="0.35">
      <c r="A33">
        <v>2551</v>
      </c>
      <c r="B33" t="s">
        <v>16</v>
      </c>
      <c r="C33">
        <v>13231.65</v>
      </c>
      <c r="D33">
        <v>694.35</v>
      </c>
      <c r="E33">
        <v>13926</v>
      </c>
      <c r="F33">
        <v>13426</v>
      </c>
      <c r="G33">
        <v>13526</v>
      </c>
      <c r="H33">
        <v>821.75</v>
      </c>
      <c r="I33">
        <v>34.99</v>
      </c>
      <c r="J33" s="2">
        <f t="shared" si="1"/>
        <v>5.3946909365496225</v>
      </c>
      <c r="K33" s="2">
        <f t="shared" si="2"/>
        <v>1.3338976372206872</v>
      </c>
      <c r="L33" s="2">
        <f t="shared" si="3"/>
        <v>5.1846055539526219</v>
      </c>
      <c r="M33" s="2">
        <f t="shared" si="4"/>
        <v>5.3880897172434317</v>
      </c>
      <c r="N33" s="2">
        <f t="shared" si="5"/>
        <v>5.3461250290118585</v>
      </c>
      <c r="O33" s="2">
        <f t="shared" si="6"/>
        <v>2.0477858083103513</v>
      </c>
      <c r="P33" s="2">
        <f t="shared" si="7"/>
        <v>3.7355469908093824</v>
      </c>
    </row>
    <row r="34" spans="1:16" hidden="1" x14ac:dyDescent="0.35">
      <c r="A34">
        <v>2552</v>
      </c>
      <c r="B34" t="s">
        <v>17</v>
      </c>
      <c r="C34">
        <v>13779.78</v>
      </c>
      <c r="D34">
        <v>702.83</v>
      </c>
      <c r="E34">
        <v>14482.61</v>
      </c>
      <c r="F34">
        <v>13982.61</v>
      </c>
      <c r="G34">
        <v>14082.61</v>
      </c>
      <c r="H34">
        <v>856.94</v>
      </c>
      <c r="I34">
        <v>34.85</v>
      </c>
      <c r="J34" s="2">
        <f t="shared" si="1"/>
        <v>1.1480264075435258</v>
      </c>
      <c r="K34" s="2">
        <f t="shared" si="2"/>
        <v>2.9888132987963445E-2</v>
      </c>
      <c r="L34" s="2">
        <f t="shared" si="3"/>
        <v>1.0931872120619914</v>
      </c>
      <c r="M34" s="2">
        <f t="shared" si="4"/>
        <v>1.1327209605091753</v>
      </c>
      <c r="N34" s="2">
        <f t="shared" si="5"/>
        <v>1.1245871032600832</v>
      </c>
      <c r="O34" s="2">
        <f t="shared" si="6"/>
        <v>-3.7481326728891986</v>
      </c>
      <c r="P34" s="2">
        <f t="shared" si="7"/>
        <v>5.0331525015069332</v>
      </c>
    </row>
    <row r="35" spans="1:16" hidden="1" x14ac:dyDescent="0.35">
      <c r="A35">
        <v>2552</v>
      </c>
      <c r="B35" t="s">
        <v>18</v>
      </c>
      <c r="C35">
        <v>15181.75</v>
      </c>
      <c r="D35">
        <v>724.77</v>
      </c>
      <c r="E35">
        <v>15906.52</v>
      </c>
      <c r="F35">
        <v>15406.52</v>
      </c>
      <c r="G35">
        <v>15506.52</v>
      </c>
      <c r="H35">
        <v>940.79</v>
      </c>
      <c r="I35">
        <v>35.299999999999997</v>
      </c>
      <c r="J35" s="2">
        <f t="shared" si="1"/>
        <v>9.0831034086336757</v>
      </c>
      <c r="K35" s="2">
        <f t="shared" si="2"/>
        <v>2.97515024934998</v>
      </c>
      <c r="L35" s="2">
        <f t="shared" si="3"/>
        <v>8.7890856092735135</v>
      </c>
      <c r="M35" s="2">
        <f t="shared" si="4"/>
        <v>9.1002823368454955</v>
      </c>
      <c r="N35" s="2">
        <f t="shared" si="5"/>
        <v>9.0362924122257624</v>
      </c>
      <c r="O35" s="2">
        <f t="shared" si="6"/>
        <v>1.9815503354977153</v>
      </c>
      <c r="P35" s="2">
        <f t="shared" si="7"/>
        <v>8.2822085889570474</v>
      </c>
    </row>
    <row r="36" spans="1:16" hidden="1" x14ac:dyDescent="0.35">
      <c r="A36">
        <v>2552</v>
      </c>
      <c r="B36" t="s">
        <v>19</v>
      </c>
      <c r="C36">
        <v>15430.55</v>
      </c>
      <c r="D36">
        <v>727.14</v>
      </c>
      <c r="E36">
        <v>16157.69</v>
      </c>
      <c r="F36">
        <v>15657.69</v>
      </c>
      <c r="G36">
        <v>15757.69</v>
      </c>
      <c r="H36">
        <v>929.1</v>
      </c>
      <c r="I36">
        <v>35.79</v>
      </c>
      <c r="J36" s="2">
        <f t="shared" si="1"/>
        <v>9.0593033882096989</v>
      </c>
      <c r="K36" s="2">
        <f t="shared" si="2"/>
        <v>2.8806700812133954</v>
      </c>
      <c r="L36" s="2">
        <f t="shared" si="3"/>
        <v>8.7652703768824551</v>
      </c>
      <c r="M36" s="2">
        <f t="shared" si="4"/>
        <v>9.0705622072562875</v>
      </c>
      <c r="N36" s="2">
        <f t="shared" si="5"/>
        <v>9.0078142942923165</v>
      </c>
      <c r="O36" s="2">
        <f t="shared" si="6"/>
        <v>-4.2263684156272632</v>
      </c>
      <c r="P36" s="2">
        <f t="shared" si="7"/>
        <v>13.655128612257855</v>
      </c>
    </row>
    <row r="37" spans="1:16" hidden="1" x14ac:dyDescent="0.35">
      <c r="A37">
        <v>2552</v>
      </c>
      <c r="B37" t="s">
        <v>20</v>
      </c>
      <c r="C37">
        <v>14735.52</v>
      </c>
      <c r="D37">
        <v>716.75</v>
      </c>
      <c r="E37">
        <v>15452.27</v>
      </c>
      <c r="F37">
        <v>14952.27</v>
      </c>
      <c r="G37">
        <v>15052.27</v>
      </c>
      <c r="H37">
        <v>891.82</v>
      </c>
      <c r="I37">
        <v>35.5</v>
      </c>
      <c r="J37" s="2">
        <f t="shared" si="1"/>
        <v>9.7736440807387055</v>
      </c>
      <c r="K37" s="2">
        <f t="shared" si="2"/>
        <v>3.0998273878020512</v>
      </c>
      <c r="L37" s="2">
        <f t="shared" si="3"/>
        <v>9.4450287737937231</v>
      </c>
      <c r="M37" s="2">
        <f t="shared" si="4"/>
        <v>9.7917944011014271</v>
      </c>
      <c r="N37" s="2">
        <f t="shared" si="5"/>
        <v>9.7204191343963657</v>
      </c>
      <c r="O37" s="2">
        <f t="shared" si="6"/>
        <v>-2.1247173994161273</v>
      </c>
      <c r="P37" s="2">
        <f t="shared" si="7"/>
        <v>12.270714737507888</v>
      </c>
    </row>
    <row r="38" spans="1:16" hidden="1" x14ac:dyDescent="0.35">
      <c r="A38">
        <v>2552</v>
      </c>
      <c r="B38" t="s">
        <v>9</v>
      </c>
      <c r="C38">
        <v>14952.18</v>
      </c>
      <c r="D38">
        <v>720.74</v>
      </c>
      <c r="E38">
        <v>15672.92</v>
      </c>
      <c r="F38">
        <v>15172.92</v>
      </c>
      <c r="G38">
        <v>15272.92</v>
      </c>
      <c r="H38">
        <v>930.44</v>
      </c>
      <c r="I38">
        <v>34.630000000000003</v>
      </c>
      <c r="J38" s="2">
        <f t="shared" si="1"/>
        <v>12.472638155687576</v>
      </c>
      <c r="K38" s="2">
        <f t="shared" si="2"/>
        <v>3.6245740658203118</v>
      </c>
      <c r="L38" s="2">
        <f t="shared" si="3"/>
        <v>12.032812993671001</v>
      </c>
      <c r="M38" s="2">
        <f t="shared" si="4"/>
        <v>12.478816983182583</v>
      </c>
      <c r="N38" s="2">
        <f t="shared" si="5"/>
        <v>12.386990620755014</v>
      </c>
      <c r="O38" s="2">
        <f t="shared" si="6"/>
        <v>4.4264870931537672</v>
      </c>
      <c r="P38" s="2">
        <f t="shared" si="7"/>
        <v>7.8480224229212183</v>
      </c>
    </row>
    <row r="39" spans="1:16" hidden="1" x14ac:dyDescent="0.35">
      <c r="A39">
        <v>2552</v>
      </c>
      <c r="B39" t="s">
        <v>10</v>
      </c>
      <c r="C39">
        <v>15066.71</v>
      </c>
      <c r="D39">
        <v>719.83</v>
      </c>
      <c r="E39">
        <v>15786.54</v>
      </c>
      <c r="F39">
        <v>15286.54</v>
      </c>
      <c r="G39">
        <v>15386.54</v>
      </c>
      <c r="H39">
        <v>947</v>
      </c>
      <c r="I39">
        <v>34.159999999999997</v>
      </c>
      <c r="J39" s="2">
        <f t="shared" si="1"/>
        <v>10.157061096049858</v>
      </c>
      <c r="K39" s="2">
        <f t="shared" si="2"/>
        <v>2.5851871909247706</v>
      </c>
      <c r="L39" s="2">
        <f t="shared" si="3"/>
        <v>9.7875607562884426</v>
      </c>
      <c r="M39" s="2">
        <f t="shared" si="4"/>
        <v>10.140159678136371</v>
      </c>
      <c r="N39" s="2">
        <f t="shared" si="5"/>
        <v>10.067622040507416</v>
      </c>
      <c r="O39" s="2">
        <f t="shared" si="6"/>
        <v>6.7812281532598035</v>
      </c>
      <c r="P39" s="2">
        <f t="shared" si="7"/>
        <v>2.8605841613971563</v>
      </c>
    </row>
    <row r="40" spans="1:16" hidden="1" x14ac:dyDescent="0.35">
      <c r="A40">
        <v>2552</v>
      </c>
      <c r="B40" t="s">
        <v>11</v>
      </c>
      <c r="C40">
        <v>14800.82</v>
      </c>
      <c r="D40">
        <v>718.41</v>
      </c>
      <c r="E40">
        <v>15519.23</v>
      </c>
      <c r="F40">
        <v>15019.23</v>
      </c>
      <c r="G40">
        <v>15119.23</v>
      </c>
      <c r="H40">
        <v>934.88</v>
      </c>
      <c r="I40">
        <v>34.049999999999997</v>
      </c>
      <c r="J40" s="2">
        <f t="shared" si="1"/>
        <v>1.3575683201187729</v>
      </c>
      <c r="K40" s="2">
        <f t="shared" si="2"/>
        <v>0.78562309731906055</v>
      </c>
      <c r="L40" s="2">
        <f t="shared" si="3"/>
        <v>1.3310149666544362</v>
      </c>
      <c r="M40" s="2">
        <f t="shared" si="4"/>
        <v>1.3759350080794377</v>
      </c>
      <c r="N40" s="2">
        <f t="shared" si="5"/>
        <v>1.3667100670583068</v>
      </c>
      <c r="O40" s="2">
        <f t="shared" si="6"/>
        <v>-0.59438365923422509</v>
      </c>
      <c r="P40" s="2">
        <f t="shared" si="7"/>
        <v>1.641791044776113</v>
      </c>
    </row>
    <row r="41" spans="1:16" hidden="1" x14ac:dyDescent="0.35">
      <c r="A41">
        <v>2552</v>
      </c>
      <c r="B41" t="s">
        <v>12</v>
      </c>
      <c r="C41">
        <v>15004.16</v>
      </c>
      <c r="D41">
        <v>719.84</v>
      </c>
      <c r="E41">
        <v>15724</v>
      </c>
      <c r="F41">
        <v>15224</v>
      </c>
      <c r="G41">
        <v>15324</v>
      </c>
      <c r="H41">
        <v>950.55</v>
      </c>
      <c r="I41">
        <v>34.03</v>
      </c>
      <c r="J41" s="2">
        <f t="shared" si="1"/>
        <v>12.503974038282735</v>
      </c>
      <c r="K41" s="2">
        <f t="shared" si="2"/>
        <v>3.5085701138847298</v>
      </c>
      <c r="L41" s="2">
        <f t="shared" si="3"/>
        <v>12.058152793614596</v>
      </c>
      <c r="M41" s="2">
        <f t="shared" si="4"/>
        <v>12.503694945314805</v>
      </c>
      <c r="N41" s="2">
        <f t="shared" si="5"/>
        <v>12.411971830985919</v>
      </c>
      <c r="O41" s="2">
        <f t="shared" si="6"/>
        <v>12.237427825861076</v>
      </c>
      <c r="P41" s="2">
        <f t="shared" si="7"/>
        <v>0.53175775480059428</v>
      </c>
    </row>
    <row r="42" spans="1:16" hidden="1" x14ac:dyDescent="0.35">
      <c r="A42">
        <v>2552</v>
      </c>
      <c r="B42" t="s">
        <v>13</v>
      </c>
      <c r="C42">
        <v>15611.88</v>
      </c>
      <c r="D42">
        <v>730.42</v>
      </c>
      <c r="E42">
        <v>16342.31</v>
      </c>
      <c r="F42">
        <v>15842.31</v>
      </c>
      <c r="G42">
        <v>15942.31</v>
      </c>
      <c r="H42">
        <v>996.35</v>
      </c>
      <c r="I42">
        <v>33.82</v>
      </c>
      <c r="J42" s="2">
        <f t="shared" si="1"/>
        <v>19.195947978493862</v>
      </c>
      <c r="K42" s="2">
        <f t="shared" si="2"/>
        <v>5.4407922278521141</v>
      </c>
      <c r="L42" s="2">
        <f t="shared" si="3"/>
        <v>18.505146341145064</v>
      </c>
      <c r="M42" s="2">
        <f t="shared" si="4"/>
        <v>19.201332091332233</v>
      </c>
      <c r="N42" s="2">
        <f t="shared" si="5"/>
        <v>19.057935622439402</v>
      </c>
      <c r="O42" s="2">
        <f t="shared" si="6"/>
        <v>20.522807823972713</v>
      </c>
      <c r="P42" s="2">
        <f t="shared" si="7"/>
        <v>-1.4281550568347399</v>
      </c>
    </row>
    <row r="43" spans="1:16" hidden="1" x14ac:dyDescent="0.35">
      <c r="A43">
        <v>2552</v>
      </c>
      <c r="B43" t="s">
        <v>14</v>
      </c>
      <c r="C43">
        <v>16151.23</v>
      </c>
      <c r="D43">
        <v>739.15</v>
      </c>
      <c r="E43">
        <v>16890.38</v>
      </c>
      <c r="F43">
        <v>16390.38</v>
      </c>
      <c r="G43">
        <v>16490.38</v>
      </c>
      <c r="H43">
        <v>1042.3399999999999</v>
      </c>
      <c r="I43">
        <v>33.409999999999997</v>
      </c>
      <c r="J43" s="2">
        <f t="shared" si="1"/>
        <v>22.766373240641016</v>
      </c>
      <c r="K43" s="2">
        <f t="shared" si="2"/>
        <v>6.5165074287031786</v>
      </c>
      <c r="L43" s="2">
        <f t="shared" si="3"/>
        <v>21.952202166064993</v>
      </c>
      <c r="M43" s="2">
        <f t="shared" si="4"/>
        <v>22.774382022471926</v>
      </c>
      <c r="N43" s="2">
        <f t="shared" si="5"/>
        <v>22.605055762081776</v>
      </c>
      <c r="O43" s="2">
        <f t="shared" si="6"/>
        <v>28.205948193156388</v>
      </c>
      <c r="P43" s="2">
        <f t="shared" si="7"/>
        <v>-3.0188679245283225</v>
      </c>
    </row>
    <row r="44" spans="1:16" hidden="1" x14ac:dyDescent="0.35">
      <c r="A44">
        <v>2552</v>
      </c>
      <c r="B44" t="s">
        <v>15</v>
      </c>
      <c r="C44">
        <v>17430.36</v>
      </c>
      <c r="D44">
        <v>755.64</v>
      </c>
      <c r="E44">
        <v>18186</v>
      </c>
      <c r="F44">
        <v>17686</v>
      </c>
      <c r="G44">
        <v>17786</v>
      </c>
      <c r="H44">
        <v>1127.3900000000001</v>
      </c>
      <c r="I44">
        <v>33.29</v>
      </c>
      <c r="J44" s="2">
        <f t="shared" si="1"/>
        <v>40.243163588702572</v>
      </c>
      <c r="K44" s="2">
        <f t="shared" si="2"/>
        <v>10.839909642972387</v>
      </c>
      <c r="L44" s="2">
        <f t="shared" si="3"/>
        <v>38.714091539401494</v>
      </c>
      <c r="M44" s="2">
        <f t="shared" si="4"/>
        <v>40.249095589203222</v>
      </c>
      <c r="N44" s="2">
        <f t="shared" si="5"/>
        <v>39.932433389297898</v>
      </c>
      <c r="O44" s="2">
        <f t="shared" si="6"/>
        <v>48.375931141586165</v>
      </c>
      <c r="P44" s="2">
        <f t="shared" si="7"/>
        <v>-5.1566951566951644</v>
      </c>
    </row>
    <row r="45" spans="1:16" hidden="1" x14ac:dyDescent="0.35">
      <c r="A45">
        <v>2552</v>
      </c>
      <c r="B45" t="s">
        <v>16</v>
      </c>
      <c r="C45">
        <v>17502.8</v>
      </c>
      <c r="D45">
        <v>758.74</v>
      </c>
      <c r="E45">
        <v>18261.54</v>
      </c>
      <c r="F45">
        <v>17761.54</v>
      </c>
      <c r="G45">
        <v>17861.54</v>
      </c>
      <c r="H45">
        <v>1130.4100000000001</v>
      </c>
      <c r="I45">
        <v>33.26</v>
      </c>
      <c r="J45" s="2">
        <f t="shared" si="1"/>
        <v>32.279798815718351</v>
      </c>
      <c r="K45" s="2">
        <f t="shared" si="2"/>
        <v>9.2734211852812081</v>
      </c>
      <c r="L45" s="2">
        <f t="shared" si="3"/>
        <v>31.132701421800959</v>
      </c>
      <c r="M45" s="2">
        <f t="shared" si="4"/>
        <v>32.292119767615077</v>
      </c>
      <c r="N45" s="2">
        <f t="shared" si="5"/>
        <v>32.053378678101438</v>
      </c>
      <c r="O45" s="2">
        <f t="shared" si="6"/>
        <v>37.56130209917859</v>
      </c>
      <c r="P45" s="2">
        <f t="shared" si="7"/>
        <v>-4.944269791368967</v>
      </c>
    </row>
    <row r="46" spans="1:16" hidden="1" x14ac:dyDescent="0.35">
      <c r="A46">
        <v>2553</v>
      </c>
      <c r="B46" t="s">
        <v>17</v>
      </c>
      <c r="C46">
        <v>17221.759999999998</v>
      </c>
      <c r="D46">
        <v>753.24</v>
      </c>
      <c r="E46">
        <v>17975</v>
      </c>
      <c r="F46">
        <v>17475</v>
      </c>
      <c r="G46">
        <v>17575</v>
      </c>
      <c r="H46">
        <v>1121.8</v>
      </c>
      <c r="I46">
        <v>33.08</v>
      </c>
      <c r="J46" s="2">
        <f t="shared" si="1"/>
        <v>24.978482965620614</v>
      </c>
      <c r="K46" s="2">
        <f t="shared" si="2"/>
        <v>7.1724314556862936</v>
      </c>
      <c r="L46" s="2">
        <f t="shared" si="3"/>
        <v>24.11436888792835</v>
      </c>
      <c r="M46" s="2">
        <f t="shared" si="4"/>
        <v>24.976667446206392</v>
      </c>
      <c r="N46" s="2">
        <f t="shared" si="5"/>
        <v>24.799309218958697</v>
      </c>
      <c r="O46" s="2">
        <f t="shared" si="6"/>
        <v>30.907648143393942</v>
      </c>
      <c r="P46" s="2">
        <f t="shared" si="7"/>
        <v>-5.0789096126255515</v>
      </c>
    </row>
    <row r="47" spans="1:16" hidden="1" x14ac:dyDescent="0.35">
      <c r="A47">
        <v>2553</v>
      </c>
      <c r="B47" t="s">
        <v>18</v>
      </c>
      <c r="C47">
        <v>16906.560000000001</v>
      </c>
      <c r="D47">
        <v>747.61</v>
      </c>
      <c r="E47">
        <v>17654.169999999998</v>
      </c>
      <c r="F47">
        <v>17154.169999999998</v>
      </c>
      <c r="G47">
        <v>17254.169999999998</v>
      </c>
      <c r="H47">
        <v>1096.93</v>
      </c>
      <c r="I47">
        <v>33.19</v>
      </c>
      <c r="J47" s="2">
        <f t="shared" si="1"/>
        <v>11.361074974887629</v>
      </c>
      <c r="K47" s="2">
        <f t="shared" si="2"/>
        <v>3.1513445644825424</v>
      </c>
      <c r="L47" s="2">
        <f t="shared" si="3"/>
        <v>10.987004071286478</v>
      </c>
      <c r="M47" s="2">
        <f t="shared" si="4"/>
        <v>11.343574019311291</v>
      </c>
      <c r="N47" s="2">
        <f t="shared" si="5"/>
        <v>11.270420442497738</v>
      </c>
      <c r="O47" s="2">
        <f t="shared" si="6"/>
        <v>16.596690015837765</v>
      </c>
      <c r="P47" s="2">
        <f t="shared" si="7"/>
        <v>-5.9773371104815851</v>
      </c>
    </row>
    <row r="48" spans="1:16" hidden="1" x14ac:dyDescent="0.35">
      <c r="A48">
        <v>2553</v>
      </c>
      <c r="B48" t="s">
        <v>19</v>
      </c>
      <c r="C48">
        <v>16889.36</v>
      </c>
      <c r="D48">
        <v>747.67</v>
      </c>
      <c r="E48">
        <v>17637.04</v>
      </c>
      <c r="F48">
        <v>17137.04</v>
      </c>
      <c r="G48">
        <v>17237.04</v>
      </c>
      <c r="H48">
        <v>1116.17</v>
      </c>
      <c r="I48">
        <v>32.54</v>
      </c>
      <c r="J48" s="2">
        <f t="shared" si="1"/>
        <v>9.4540376072142607</v>
      </c>
      <c r="K48" s="2">
        <f t="shared" si="2"/>
        <v>2.8233902687240402</v>
      </c>
      <c r="L48" s="2">
        <f t="shared" si="3"/>
        <v>9.1557023312119412</v>
      </c>
      <c r="M48" s="2">
        <f t="shared" si="4"/>
        <v>9.4480731193426379</v>
      </c>
      <c r="N48" s="2">
        <f t="shared" si="5"/>
        <v>9.388114628476643</v>
      </c>
      <c r="O48" s="2">
        <f t="shared" si="6"/>
        <v>20.134538800990214</v>
      </c>
      <c r="P48" s="2">
        <f t="shared" si="7"/>
        <v>-9.0807488125174558</v>
      </c>
    </row>
    <row r="49" spans="1:16" hidden="1" x14ac:dyDescent="0.35">
      <c r="A49">
        <v>2553</v>
      </c>
      <c r="B49" t="s">
        <v>20</v>
      </c>
      <c r="C49">
        <v>17141.830000000002</v>
      </c>
      <c r="D49">
        <v>751.36</v>
      </c>
      <c r="E49">
        <v>17893.18</v>
      </c>
      <c r="F49">
        <v>17393.18</v>
      </c>
      <c r="G49">
        <v>17493.18</v>
      </c>
      <c r="H49">
        <v>1145.72</v>
      </c>
      <c r="I49">
        <v>32.29</v>
      </c>
      <c r="J49" s="2">
        <f t="shared" si="1"/>
        <v>16.329997176889592</v>
      </c>
      <c r="K49" s="2">
        <f t="shared" si="2"/>
        <v>4.8287408440879034</v>
      </c>
      <c r="L49" s="2">
        <f t="shared" si="3"/>
        <v>15.796449324274036</v>
      </c>
      <c r="M49" s="2">
        <f t="shared" si="4"/>
        <v>16.324678460193681</v>
      </c>
      <c r="N49" s="2">
        <f t="shared" si="5"/>
        <v>16.216225193940829</v>
      </c>
      <c r="O49" s="2">
        <f t="shared" si="6"/>
        <v>28.469870601690928</v>
      </c>
      <c r="P49" s="2">
        <f t="shared" si="7"/>
        <v>-9.0422535211267672</v>
      </c>
    </row>
    <row r="50" spans="1:16" hidden="1" x14ac:dyDescent="0.35">
      <c r="A50">
        <v>2553</v>
      </c>
      <c r="B50" t="s">
        <v>9</v>
      </c>
      <c r="C50">
        <v>18066.59</v>
      </c>
      <c r="D50">
        <v>765.23</v>
      </c>
      <c r="E50">
        <v>18831.82</v>
      </c>
      <c r="F50">
        <v>18331.82</v>
      </c>
      <c r="G50">
        <v>18431.82</v>
      </c>
      <c r="H50">
        <v>1204.06</v>
      </c>
      <c r="I50">
        <v>32.380000000000003</v>
      </c>
      <c r="J50" s="2">
        <f t="shared" si="1"/>
        <v>20.829136620880703</v>
      </c>
      <c r="K50" s="2">
        <f t="shared" si="2"/>
        <v>6.1728223770014097</v>
      </c>
      <c r="L50" s="2">
        <f t="shared" si="3"/>
        <v>20.155146584044317</v>
      </c>
      <c r="M50" s="2">
        <f t="shared" si="4"/>
        <v>20.819328118780049</v>
      </c>
      <c r="N50" s="2">
        <f t="shared" si="5"/>
        <v>20.683012809600257</v>
      </c>
      <c r="O50" s="2">
        <f t="shared" si="6"/>
        <v>29.407592106960124</v>
      </c>
      <c r="P50" s="2">
        <f t="shared" si="7"/>
        <v>-6.4972567138319306</v>
      </c>
    </row>
    <row r="51" spans="1:16" hidden="1" x14ac:dyDescent="0.35">
      <c r="A51">
        <v>2553</v>
      </c>
      <c r="B51" t="s">
        <v>10</v>
      </c>
      <c r="C51">
        <v>18575.66</v>
      </c>
      <c r="D51">
        <v>772.41</v>
      </c>
      <c r="E51">
        <v>19348.080000000002</v>
      </c>
      <c r="F51">
        <v>18848.080000000002</v>
      </c>
      <c r="G51">
        <v>18948.080000000002</v>
      </c>
      <c r="H51">
        <v>1232.98</v>
      </c>
      <c r="I51">
        <v>32.46</v>
      </c>
      <c r="J51" s="2">
        <f t="shared" si="1"/>
        <v>23.289424167585366</v>
      </c>
      <c r="K51" s="2">
        <f t="shared" si="2"/>
        <v>7.3045024519678066</v>
      </c>
      <c r="L51" s="2">
        <f t="shared" si="3"/>
        <v>22.560611761665328</v>
      </c>
      <c r="M51" s="2">
        <f t="shared" si="4"/>
        <v>23.298535836101578</v>
      </c>
      <c r="N51" s="2">
        <f t="shared" si="5"/>
        <v>23.147114296001575</v>
      </c>
      <c r="O51" s="2">
        <f t="shared" si="6"/>
        <v>30.198521647307302</v>
      </c>
      <c r="P51" s="2">
        <f t="shared" si="7"/>
        <v>-4.976580796252918</v>
      </c>
    </row>
    <row r="52" spans="1:16" hidden="1" x14ac:dyDescent="0.35">
      <c r="A52">
        <v>2553</v>
      </c>
      <c r="B52" t="s">
        <v>11</v>
      </c>
      <c r="C52">
        <v>18028.05</v>
      </c>
      <c r="D52">
        <v>766.4</v>
      </c>
      <c r="E52">
        <v>18794.439999999999</v>
      </c>
      <c r="F52">
        <v>18294.439999999999</v>
      </c>
      <c r="G52">
        <v>18394.439999999999</v>
      </c>
      <c r="H52">
        <v>1197.17</v>
      </c>
      <c r="I52">
        <v>32.340000000000003</v>
      </c>
      <c r="J52" s="2">
        <f t="shared" si="1"/>
        <v>21.804400026485027</v>
      </c>
      <c r="K52" s="2">
        <f t="shared" si="2"/>
        <v>6.6800295096115008</v>
      </c>
      <c r="L52" s="2">
        <f t="shared" si="3"/>
        <v>21.104204267866365</v>
      </c>
      <c r="M52" s="2">
        <f t="shared" si="4"/>
        <v>21.806777045161425</v>
      </c>
      <c r="N52" s="2">
        <f t="shared" si="5"/>
        <v>21.662544984103022</v>
      </c>
      <c r="O52" s="2">
        <f t="shared" si="6"/>
        <v>28.05600718808833</v>
      </c>
      <c r="P52" s="2">
        <f t="shared" si="7"/>
        <v>-5.0220264317180465</v>
      </c>
    </row>
    <row r="53" spans="1:16" hidden="1" x14ac:dyDescent="0.35">
      <c r="A53">
        <v>2553</v>
      </c>
      <c r="B53" t="s">
        <v>12</v>
      </c>
      <c r="C53">
        <v>17946.41</v>
      </c>
      <c r="D53">
        <v>763.59</v>
      </c>
      <c r="E53">
        <v>18710</v>
      </c>
      <c r="F53">
        <v>18210</v>
      </c>
      <c r="G53">
        <v>18310</v>
      </c>
      <c r="H53">
        <v>1216</v>
      </c>
      <c r="I53">
        <v>31.75</v>
      </c>
      <c r="J53" s="2">
        <f t="shared" si="1"/>
        <v>19.609561614912138</v>
      </c>
      <c r="K53" s="2">
        <f t="shared" si="2"/>
        <v>6.0777394976661441</v>
      </c>
      <c r="L53" s="2">
        <f t="shared" si="3"/>
        <v>18.990078860340873</v>
      </c>
      <c r="M53" s="2">
        <f t="shared" si="4"/>
        <v>19.613767735155022</v>
      </c>
      <c r="N53" s="2">
        <f t="shared" si="5"/>
        <v>19.485773949360492</v>
      </c>
      <c r="O53" s="2">
        <f t="shared" si="6"/>
        <v>27.925937615064967</v>
      </c>
      <c r="P53" s="2">
        <f t="shared" si="7"/>
        <v>-6.6999706141639734</v>
      </c>
    </row>
    <row r="54" spans="1:16" hidden="1" x14ac:dyDescent="0.35">
      <c r="A54">
        <v>2553</v>
      </c>
      <c r="B54" t="s">
        <v>13</v>
      </c>
      <c r="C54">
        <v>18196.66</v>
      </c>
      <c r="D54">
        <v>766.8</v>
      </c>
      <c r="E54">
        <v>18963.46</v>
      </c>
      <c r="F54">
        <v>18463.46</v>
      </c>
      <c r="G54">
        <v>18563.46</v>
      </c>
      <c r="H54">
        <v>1271.57</v>
      </c>
      <c r="I54">
        <v>30.85</v>
      </c>
      <c r="J54" s="2">
        <f t="shared" si="1"/>
        <v>16.556494157013773</v>
      </c>
      <c r="K54" s="2">
        <f t="shared" si="2"/>
        <v>4.9806960378960099</v>
      </c>
      <c r="L54" s="2">
        <f t="shared" si="3"/>
        <v>16.03904221618609</v>
      </c>
      <c r="M54" s="2">
        <f t="shared" si="4"/>
        <v>16.545251292267366</v>
      </c>
      <c r="N54" s="2">
        <f t="shared" si="5"/>
        <v>16.441469272646174</v>
      </c>
      <c r="O54" s="2">
        <f t="shared" si="6"/>
        <v>27.622823305063477</v>
      </c>
      <c r="P54" s="2">
        <f t="shared" si="7"/>
        <v>-8.781785925487867</v>
      </c>
    </row>
    <row r="55" spans="1:16" hidden="1" x14ac:dyDescent="0.35">
      <c r="A55">
        <v>2553</v>
      </c>
      <c r="B55" t="s">
        <v>14</v>
      </c>
      <c r="C55">
        <v>18691.07</v>
      </c>
      <c r="D55">
        <v>774.93</v>
      </c>
      <c r="E55">
        <v>19466</v>
      </c>
      <c r="F55">
        <v>18966</v>
      </c>
      <c r="G55">
        <v>19066</v>
      </c>
      <c r="H55">
        <v>1342.85</v>
      </c>
      <c r="I55">
        <v>29.98</v>
      </c>
      <c r="J55" s="2">
        <f t="shared" si="1"/>
        <v>15.725365808053013</v>
      </c>
      <c r="K55" s="2">
        <f t="shared" si="2"/>
        <v>4.8406953933572368</v>
      </c>
      <c r="L55" s="2">
        <f t="shared" si="3"/>
        <v>15.249035249650973</v>
      </c>
      <c r="M55" s="2">
        <f t="shared" si="4"/>
        <v>15.714217730156335</v>
      </c>
      <c r="N55" s="2">
        <f t="shared" si="5"/>
        <v>15.618924488095473</v>
      </c>
      <c r="O55" s="2">
        <f t="shared" si="6"/>
        <v>28.830324078515645</v>
      </c>
      <c r="P55" s="2">
        <f t="shared" si="7"/>
        <v>-10.266387309188858</v>
      </c>
    </row>
    <row r="56" spans="1:16" hidden="1" x14ac:dyDescent="0.35">
      <c r="A56">
        <v>2553</v>
      </c>
      <c r="B56" t="s">
        <v>15</v>
      </c>
      <c r="C56">
        <v>19039.79</v>
      </c>
      <c r="D56">
        <v>779.44</v>
      </c>
      <c r="E56">
        <v>19819.23</v>
      </c>
      <c r="F56">
        <v>19319.23</v>
      </c>
      <c r="G56">
        <v>19419.23</v>
      </c>
      <c r="H56">
        <v>1372.16</v>
      </c>
      <c r="I56">
        <v>29.89</v>
      </c>
      <c r="J56" s="2">
        <f t="shared" si="1"/>
        <v>9.2334868585617329</v>
      </c>
      <c r="K56" s="2">
        <f t="shared" si="2"/>
        <v>3.1496479805198447</v>
      </c>
      <c r="L56" s="2">
        <f t="shared" si="3"/>
        <v>8.9806994391289976</v>
      </c>
      <c r="M56" s="2">
        <f t="shared" si="4"/>
        <v>9.2345923329186945</v>
      </c>
      <c r="N56" s="2">
        <f t="shared" si="5"/>
        <v>9.1826717643090063</v>
      </c>
      <c r="O56" s="2">
        <f t="shared" si="6"/>
        <v>21.711209075830013</v>
      </c>
      <c r="P56" s="2">
        <f t="shared" si="7"/>
        <v>-10.213277260438574</v>
      </c>
    </row>
    <row r="57" spans="1:16" hidden="1" x14ac:dyDescent="0.35">
      <c r="A57">
        <v>2553</v>
      </c>
      <c r="B57" t="s">
        <v>16</v>
      </c>
      <c r="C57">
        <v>19473.93</v>
      </c>
      <c r="D57">
        <v>786.07</v>
      </c>
      <c r="E57">
        <v>20260</v>
      </c>
      <c r="F57">
        <v>19760</v>
      </c>
      <c r="G57">
        <v>19860</v>
      </c>
      <c r="H57">
        <v>1392.05</v>
      </c>
      <c r="I57">
        <v>30.13</v>
      </c>
      <c r="J57" s="2">
        <f t="shared" si="1"/>
        <v>11.261798112302031</v>
      </c>
      <c r="K57" s="2">
        <f t="shared" si="2"/>
        <v>3.6020244088884112</v>
      </c>
      <c r="L57" s="2">
        <f t="shared" si="3"/>
        <v>10.943545834579112</v>
      </c>
      <c r="M57" s="2">
        <f t="shared" si="4"/>
        <v>11.251614443342177</v>
      </c>
      <c r="N57" s="2">
        <f t="shared" si="5"/>
        <v>11.188620913986142</v>
      </c>
      <c r="O57" s="2">
        <f t="shared" si="6"/>
        <v>23.145584345502954</v>
      </c>
      <c r="P57" s="2">
        <f t="shared" si="7"/>
        <v>-9.4107035478051699</v>
      </c>
    </row>
    <row r="58" spans="1:16" hidden="1" x14ac:dyDescent="0.35">
      <c r="A58">
        <v>2554</v>
      </c>
      <c r="B58" t="s">
        <v>17</v>
      </c>
      <c r="C58">
        <v>19422.39</v>
      </c>
      <c r="D58">
        <v>785.61</v>
      </c>
      <c r="E58">
        <v>20208</v>
      </c>
      <c r="F58">
        <v>19708</v>
      </c>
      <c r="G58">
        <v>19808</v>
      </c>
      <c r="H58">
        <v>1365.69</v>
      </c>
      <c r="I58">
        <v>30.61</v>
      </c>
      <c r="J58" s="2">
        <f t="shared" si="1"/>
        <v>12.778194563157314</v>
      </c>
      <c r="K58" s="2">
        <f t="shared" si="2"/>
        <v>4.2974350804524448</v>
      </c>
      <c r="L58" s="2">
        <f t="shared" si="3"/>
        <v>12.422809457579959</v>
      </c>
      <c r="M58" s="2">
        <f t="shared" si="4"/>
        <v>12.778254649499289</v>
      </c>
      <c r="N58" s="2">
        <f t="shared" si="5"/>
        <v>12.705547652916067</v>
      </c>
      <c r="O58" s="2">
        <f t="shared" si="6"/>
        <v>21.740952041362107</v>
      </c>
      <c r="P58" s="2">
        <f t="shared" si="7"/>
        <v>-7.4667472793228455</v>
      </c>
    </row>
    <row r="59" spans="1:16" hidden="1" x14ac:dyDescent="0.35">
      <c r="A59">
        <v>2554</v>
      </c>
      <c r="B59" t="s">
        <v>18</v>
      </c>
      <c r="C59">
        <v>19590.330000000002</v>
      </c>
      <c r="D59">
        <v>788.24</v>
      </c>
      <c r="E59">
        <v>20378.57</v>
      </c>
      <c r="F59">
        <v>19878.57</v>
      </c>
      <c r="G59">
        <v>19978.57</v>
      </c>
      <c r="H59">
        <v>1374.85</v>
      </c>
      <c r="I59">
        <v>30.7</v>
      </c>
      <c r="J59" s="2">
        <f t="shared" si="1"/>
        <v>15.874134063937319</v>
      </c>
      <c r="K59" s="2">
        <f t="shared" si="2"/>
        <v>5.434651756932098</v>
      </c>
      <c r="L59" s="2">
        <f t="shared" si="3"/>
        <v>15.432048065697799</v>
      </c>
      <c r="M59" s="2">
        <f t="shared" si="4"/>
        <v>15.881852634082577</v>
      </c>
      <c r="N59" s="2">
        <f t="shared" si="5"/>
        <v>15.789806174391472</v>
      </c>
      <c r="O59" s="2">
        <f t="shared" si="6"/>
        <v>25.336165480021492</v>
      </c>
      <c r="P59" s="2">
        <f t="shared" si="7"/>
        <v>-7.502259716782163</v>
      </c>
    </row>
    <row r="60" spans="1:16" hidden="1" x14ac:dyDescent="0.35">
      <c r="A60">
        <v>2554</v>
      </c>
      <c r="B60" t="s">
        <v>19</v>
      </c>
      <c r="C60">
        <v>20090.93</v>
      </c>
      <c r="D60">
        <v>796.11</v>
      </c>
      <c r="E60">
        <v>20887.04</v>
      </c>
      <c r="F60">
        <v>20387.04</v>
      </c>
      <c r="G60">
        <v>20487.04</v>
      </c>
      <c r="H60">
        <v>1422.78</v>
      </c>
      <c r="I60">
        <v>30.39</v>
      </c>
      <c r="J60" s="2">
        <f t="shared" si="1"/>
        <v>18.956135697267399</v>
      </c>
      <c r="K60" s="2">
        <f t="shared" si="2"/>
        <v>6.4787941204007069</v>
      </c>
      <c r="L60" s="2">
        <f t="shared" si="3"/>
        <v>18.427128361675187</v>
      </c>
      <c r="M60" s="2">
        <f t="shared" si="4"/>
        <v>18.964768711516115</v>
      </c>
      <c r="N60" s="2">
        <f t="shared" si="5"/>
        <v>18.854745362312798</v>
      </c>
      <c r="O60" s="2">
        <f t="shared" si="6"/>
        <v>27.469829864626334</v>
      </c>
      <c r="P60" s="2">
        <f t="shared" si="7"/>
        <v>-6.6072526121696313</v>
      </c>
    </row>
    <row r="61" spans="1:16" hidden="1" x14ac:dyDescent="0.35">
      <c r="A61">
        <v>2554</v>
      </c>
      <c r="B61" t="s">
        <v>20</v>
      </c>
      <c r="C61">
        <v>20728.54</v>
      </c>
      <c r="D61">
        <v>805.55</v>
      </c>
      <c r="E61">
        <v>21534.09</v>
      </c>
      <c r="F61">
        <v>21034.09</v>
      </c>
      <c r="G61">
        <v>21134.09</v>
      </c>
      <c r="H61">
        <v>1484.71</v>
      </c>
      <c r="I61">
        <v>30.06</v>
      </c>
      <c r="J61" s="2">
        <f t="shared" si="1"/>
        <v>20.923728680076749</v>
      </c>
      <c r="K61" s="2">
        <f t="shared" si="2"/>
        <v>7.2122551107325421</v>
      </c>
      <c r="L61" s="2">
        <f t="shared" si="3"/>
        <v>20.348032043493674</v>
      </c>
      <c r="M61" s="2">
        <f t="shared" si="4"/>
        <v>20.932974878659323</v>
      </c>
      <c r="N61" s="2">
        <f t="shared" si="5"/>
        <v>20.813311244725099</v>
      </c>
      <c r="O61" s="2">
        <f t="shared" si="6"/>
        <v>29.587508291729222</v>
      </c>
      <c r="P61" s="2">
        <f t="shared" si="7"/>
        <v>-6.9061628987302583</v>
      </c>
    </row>
    <row r="62" spans="1:16" hidden="1" x14ac:dyDescent="0.35">
      <c r="A62">
        <v>2554</v>
      </c>
      <c r="B62" t="s">
        <v>9</v>
      </c>
      <c r="C62">
        <v>21294.75</v>
      </c>
      <c r="D62">
        <v>813.59</v>
      </c>
      <c r="E62">
        <v>22108.33</v>
      </c>
      <c r="F62">
        <v>21608.33</v>
      </c>
      <c r="G62">
        <v>21708.33</v>
      </c>
      <c r="H62">
        <v>1515.83</v>
      </c>
      <c r="I62">
        <v>30.27</v>
      </c>
      <c r="J62" s="2">
        <f t="shared" si="1"/>
        <v>17.868120104568703</v>
      </c>
      <c r="K62" s="2">
        <f t="shared" si="2"/>
        <v>6.3196685963697234</v>
      </c>
      <c r="L62" s="2">
        <f t="shared" si="3"/>
        <v>17.398796292657863</v>
      </c>
      <c r="M62" s="2">
        <f t="shared" si="4"/>
        <v>17.873348090915144</v>
      </c>
      <c r="N62" s="2">
        <f t="shared" si="5"/>
        <v>17.776378024524988</v>
      </c>
      <c r="O62" s="2">
        <f t="shared" si="6"/>
        <v>25.893227912230273</v>
      </c>
      <c r="P62" s="2">
        <f t="shared" si="7"/>
        <v>-6.5163681284743689</v>
      </c>
    </row>
    <row r="63" spans="1:16" hidden="1" x14ac:dyDescent="0.35">
      <c r="A63">
        <v>2554</v>
      </c>
      <c r="B63" t="s">
        <v>10</v>
      </c>
      <c r="C63">
        <v>21697.46</v>
      </c>
      <c r="D63">
        <v>819.85</v>
      </c>
      <c r="E63">
        <v>22517.31</v>
      </c>
      <c r="F63">
        <v>22017.31</v>
      </c>
      <c r="G63">
        <v>22117.31</v>
      </c>
      <c r="H63">
        <v>1529.41</v>
      </c>
      <c r="I63">
        <v>30.53</v>
      </c>
      <c r="J63" s="2">
        <f t="shared" si="1"/>
        <v>16.805863156410055</v>
      </c>
      <c r="K63" s="2">
        <f t="shared" si="2"/>
        <v>6.14181587498868</v>
      </c>
      <c r="L63" s="2">
        <f t="shared" si="3"/>
        <v>16.380074922162819</v>
      </c>
      <c r="M63" s="2">
        <f t="shared" si="4"/>
        <v>16.814603927827122</v>
      </c>
      <c r="N63" s="2">
        <f t="shared" si="5"/>
        <v>16.725863517570104</v>
      </c>
      <c r="O63" s="2">
        <f t="shared" si="6"/>
        <v>24.041752502068164</v>
      </c>
      <c r="P63" s="2">
        <f t="shared" si="7"/>
        <v>-5.9457794208256303</v>
      </c>
    </row>
    <row r="64" spans="1:16" hidden="1" x14ac:dyDescent="0.35">
      <c r="A64">
        <v>2554</v>
      </c>
      <c r="B64" t="s">
        <v>11</v>
      </c>
      <c r="C64">
        <v>21954.6</v>
      </c>
      <c r="D64">
        <v>822.33</v>
      </c>
      <c r="E64">
        <v>22776.92</v>
      </c>
      <c r="F64">
        <v>22276.92</v>
      </c>
      <c r="G64">
        <v>22376.92</v>
      </c>
      <c r="H64">
        <v>1569.07</v>
      </c>
      <c r="I64">
        <v>30.07</v>
      </c>
      <c r="J64" s="2">
        <f t="shared" si="1"/>
        <v>21.780225814771967</v>
      </c>
      <c r="K64" s="2">
        <f t="shared" si="2"/>
        <v>7.2977557411273608</v>
      </c>
      <c r="L64" s="2">
        <f t="shared" si="3"/>
        <v>21.189670987802771</v>
      </c>
      <c r="M64" s="2">
        <f t="shared" si="4"/>
        <v>21.768799700892743</v>
      </c>
      <c r="N64" s="2">
        <f t="shared" si="5"/>
        <v>21.650455246259199</v>
      </c>
      <c r="O64" s="2">
        <f t="shared" si="6"/>
        <v>31.064928122154726</v>
      </c>
      <c r="P64" s="2">
        <f t="shared" si="7"/>
        <v>-7.019171304885603</v>
      </c>
    </row>
    <row r="65" spans="1:16" hidden="1" x14ac:dyDescent="0.35">
      <c r="A65">
        <v>2554</v>
      </c>
      <c r="B65" t="s">
        <v>12</v>
      </c>
      <c r="C65">
        <v>24530.63</v>
      </c>
      <c r="D65">
        <v>861.68</v>
      </c>
      <c r="E65">
        <v>25392.31</v>
      </c>
      <c r="F65">
        <v>24892.31</v>
      </c>
      <c r="G65">
        <v>24992.31</v>
      </c>
      <c r="H65">
        <v>1762.68</v>
      </c>
      <c r="I65">
        <v>29.9</v>
      </c>
      <c r="J65" s="2">
        <f t="shared" si="1"/>
        <v>36.688229010704646</v>
      </c>
      <c r="K65" s="2">
        <f t="shared" si="2"/>
        <v>12.845898977199795</v>
      </c>
      <c r="L65" s="2">
        <f t="shared" si="3"/>
        <v>35.715179048637111</v>
      </c>
      <c r="M65" s="2">
        <f t="shared" si="4"/>
        <v>36.695826468973081</v>
      </c>
      <c r="N65" s="2">
        <f t="shared" si="5"/>
        <v>36.495412342981979</v>
      </c>
      <c r="O65" s="2">
        <f t="shared" si="6"/>
        <v>44.95723684210526</v>
      </c>
      <c r="P65" s="2">
        <f t="shared" si="7"/>
        <v>-5.8267716535433181</v>
      </c>
    </row>
    <row r="66" spans="1:16" hidden="1" x14ac:dyDescent="0.35">
      <c r="A66">
        <v>2554</v>
      </c>
      <c r="B66" t="s">
        <v>13</v>
      </c>
      <c r="C66">
        <v>25267.64</v>
      </c>
      <c r="D66">
        <v>870.82</v>
      </c>
      <c r="E66">
        <v>26138.46</v>
      </c>
      <c r="F66">
        <v>25638.46</v>
      </c>
      <c r="G66">
        <v>25738.46</v>
      </c>
      <c r="H66">
        <v>1780</v>
      </c>
      <c r="I66">
        <v>30.44</v>
      </c>
      <c r="J66" s="2">
        <f t="shared" si="1"/>
        <v>38.858669667950039</v>
      </c>
      <c r="K66" s="2">
        <f t="shared" si="2"/>
        <v>13.565466875326052</v>
      </c>
      <c r="L66" s="2">
        <f t="shared" si="3"/>
        <v>37.835922347504095</v>
      </c>
      <c r="M66" s="2">
        <f t="shared" si="4"/>
        <v>38.860538598940821</v>
      </c>
      <c r="N66" s="2">
        <f t="shared" si="5"/>
        <v>38.651199722465549</v>
      </c>
      <c r="O66" s="2">
        <f t="shared" si="6"/>
        <v>39.984428698380754</v>
      </c>
      <c r="P66" s="2">
        <f t="shared" si="7"/>
        <v>-1.3290113452188024</v>
      </c>
    </row>
    <row r="67" spans="1:16" hidden="1" x14ac:dyDescent="0.35">
      <c r="A67">
        <v>2554</v>
      </c>
      <c r="B67" t="s">
        <v>14</v>
      </c>
      <c r="C67">
        <v>23967.38</v>
      </c>
      <c r="D67">
        <v>853.78</v>
      </c>
      <c r="E67">
        <v>24821.15</v>
      </c>
      <c r="F67">
        <v>24321.15</v>
      </c>
      <c r="G67">
        <v>24421.15</v>
      </c>
      <c r="H67">
        <v>1668.1</v>
      </c>
      <c r="I67">
        <v>30.89</v>
      </c>
      <c r="J67" s="2">
        <f t="shared" si="1"/>
        <v>28.229041997060648</v>
      </c>
      <c r="K67" s="2">
        <f t="shared" si="2"/>
        <v>10.175112590814649</v>
      </c>
      <c r="L67" s="2">
        <f t="shared" si="3"/>
        <v>27.510274324463182</v>
      </c>
      <c r="M67" s="2">
        <f t="shared" si="4"/>
        <v>28.235526732046822</v>
      </c>
      <c r="N67" s="2">
        <f t="shared" si="5"/>
        <v>28.087433127032426</v>
      </c>
      <c r="O67" s="2">
        <f t="shared" si="6"/>
        <v>24.220873515284651</v>
      </c>
      <c r="P67" s="2">
        <f t="shared" si="7"/>
        <v>3.0353569046030628</v>
      </c>
    </row>
    <row r="68" spans="1:16" hidden="1" x14ac:dyDescent="0.35">
      <c r="A68">
        <v>2554</v>
      </c>
      <c r="B68" t="s">
        <v>15</v>
      </c>
      <c r="C68">
        <v>25013.42</v>
      </c>
      <c r="D68">
        <v>867.35</v>
      </c>
      <c r="E68">
        <v>25880.77</v>
      </c>
      <c r="F68">
        <v>25380.77</v>
      </c>
      <c r="G68">
        <v>25480.77</v>
      </c>
      <c r="H68">
        <v>1737.52</v>
      </c>
      <c r="I68">
        <v>30.96</v>
      </c>
      <c r="J68" s="2">
        <f t="shared" si="1"/>
        <v>31.374453184620194</v>
      </c>
      <c r="K68" s="2">
        <f t="shared" si="2"/>
        <v>11.27861028430668</v>
      </c>
      <c r="L68" s="2">
        <f t="shared" si="3"/>
        <v>30.584134701499494</v>
      </c>
      <c r="M68" s="2">
        <f t="shared" si="4"/>
        <v>31.375681121866648</v>
      </c>
      <c r="N68" s="2">
        <f t="shared" si="5"/>
        <v>31.214110961145224</v>
      </c>
      <c r="O68" s="2">
        <f t="shared" si="6"/>
        <v>26.626632462686544</v>
      </c>
      <c r="P68" s="2">
        <f t="shared" si="7"/>
        <v>3.5797925727668201</v>
      </c>
    </row>
    <row r="69" spans="1:16" hidden="1" x14ac:dyDescent="0.35">
      <c r="A69">
        <v>2554</v>
      </c>
      <c r="B69" t="s">
        <v>16</v>
      </c>
      <c r="C69">
        <v>24033.09</v>
      </c>
      <c r="D69">
        <v>855.8</v>
      </c>
      <c r="E69">
        <v>24888.89</v>
      </c>
      <c r="F69">
        <v>24388.89</v>
      </c>
      <c r="G69">
        <v>24488.89</v>
      </c>
      <c r="H69">
        <v>1655.84</v>
      </c>
      <c r="I69">
        <v>31.23</v>
      </c>
      <c r="J69" s="2">
        <f t="shared" si="1"/>
        <v>23.411607210254942</v>
      </c>
      <c r="K69" s="2">
        <f t="shared" si="2"/>
        <v>8.8707112598114435</v>
      </c>
      <c r="L69" s="2">
        <f t="shared" si="3"/>
        <v>22.847433366238889</v>
      </c>
      <c r="M69" s="2">
        <f t="shared" si="4"/>
        <v>23.425556680161932</v>
      </c>
      <c r="N69" s="2">
        <f t="shared" si="5"/>
        <v>23.307603222557887</v>
      </c>
      <c r="O69" s="2">
        <f t="shared" si="6"/>
        <v>18.949750368162071</v>
      </c>
      <c r="P69" s="2">
        <f t="shared" si="7"/>
        <v>3.6508463325589275</v>
      </c>
    </row>
    <row r="70" spans="1:16" hidden="1" x14ac:dyDescent="0.35">
      <c r="A70">
        <v>2555</v>
      </c>
      <c r="B70" t="s">
        <v>17</v>
      </c>
      <c r="C70">
        <v>24271.82</v>
      </c>
      <c r="D70">
        <v>858.62</v>
      </c>
      <c r="E70">
        <v>25130.43</v>
      </c>
      <c r="F70">
        <v>24630.43</v>
      </c>
      <c r="G70">
        <v>24730.43</v>
      </c>
      <c r="H70">
        <v>1651.37</v>
      </c>
      <c r="I70">
        <v>31.61</v>
      </c>
      <c r="J70" s="2">
        <f t="shared" si="1"/>
        <v>24.968245411609999</v>
      </c>
      <c r="K70" s="2">
        <f t="shared" si="2"/>
        <v>9.2934153078499548</v>
      </c>
      <c r="L70" s="2">
        <f t="shared" si="3"/>
        <v>24.358818289786228</v>
      </c>
      <c r="M70" s="2">
        <f t="shared" si="4"/>
        <v>24.976811447128071</v>
      </c>
      <c r="N70" s="2">
        <f t="shared" si="5"/>
        <v>24.850716882067857</v>
      </c>
      <c r="O70" s="2">
        <f t="shared" si="6"/>
        <v>20.918363611068386</v>
      </c>
      <c r="P70" s="2">
        <f t="shared" si="7"/>
        <v>3.266906239790913</v>
      </c>
    </row>
    <row r="71" spans="1:16" hidden="1" x14ac:dyDescent="0.35">
      <c r="A71">
        <v>2555</v>
      </c>
      <c r="B71" t="s">
        <v>18</v>
      </c>
      <c r="C71">
        <v>24910.91</v>
      </c>
      <c r="D71">
        <v>867.09</v>
      </c>
      <c r="E71">
        <v>25778</v>
      </c>
      <c r="F71">
        <v>25278</v>
      </c>
      <c r="G71">
        <v>25378</v>
      </c>
      <c r="H71">
        <v>1744.43</v>
      </c>
      <c r="I71">
        <v>30.73</v>
      </c>
      <c r="J71" s="2">
        <f t="shared" si="1"/>
        <v>27.159215796773182</v>
      </c>
      <c r="K71" s="2">
        <f t="shared" si="2"/>
        <v>10.003298487770223</v>
      </c>
      <c r="L71" s="2">
        <f t="shared" si="3"/>
        <v>26.495627514590097</v>
      </c>
      <c r="M71" s="2">
        <f t="shared" si="4"/>
        <v>27.162064474456656</v>
      </c>
      <c r="N71" s="2">
        <f t="shared" si="5"/>
        <v>27.026108475231212</v>
      </c>
      <c r="O71" s="2">
        <f t="shared" si="6"/>
        <v>26.881477979415962</v>
      </c>
      <c r="P71" s="2">
        <f t="shared" si="7"/>
        <v>9.7719869706835993E-2</v>
      </c>
    </row>
    <row r="72" spans="1:16" hidden="1" x14ac:dyDescent="0.35">
      <c r="A72">
        <v>2555</v>
      </c>
      <c r="B72" t="s">
        <v>19</v>
      </c>
      <c r="C72">
        <v>23983.73</v>
      </c>
      <c r="D72">
        <v>854.27</v>
      </c>
      <c r="E72">
        <v>24838</v>
      </c>
      <c r="F72">
        <v>24338</v>
      </c>
      <c r="G72">
        <v>24438</v>
      </c>
      <c r="H72">
        <v>1676.95</v>
      </c>
      <c r="I72">
        <v>30.72</v>
      </c>
      <c r="J72" s="2">
        <f t="shared" si="1"/>
        <v>19.375907436838418</v>
      </c>
      <c r="K72" s="2">
        <f t="shared" si="2"/>
        <v>7.305523106103422</v>
      </c>
      <c r="L72" s="2">
        <f t="shared" si="3"/>
        <v>18.915844466233594</v>
      </c>
      <c r="M72" s="2">
        <f t="shared" si="4"/>
        <v>19.379762829719269</v>
      </c>
      <c r="N72" s="2">
        <f t="shared" si="5"/>
        <v>19.285167598637969</v>
      </c>
      <c r="O72" s="2">
        <f t="shared" si="6"/>
        <v>17.864321961230843</v>
      </c>
      <c r="P72" s="2">
        <f t="shared" si="7"/>
        <v>1.0858835143139061</v>
      </c>
    </row>
    <row r="73" spans="1:16" hidden="1" x14ac:dyDescent="0.35">
      <c r="A73">
        <v>2555</v>
      </c>
      <c r="B73" t="s">
        <v>20</v>
      </c>
      <c r="C73">
        <v>23693.7</v>
      </c>
      <c r="D73">
        <v>849.48</v>
      </c>
      <c r="E73">
        <v>24543.18</v>
      </c>
      <c r="F73">
        <v>24043.18</v>
      </c>
      <c r="G73">
        <v>24143.18</v>
      </c>
      <c r="H73">
        <v>1647.81</v>
      </c>
      <c r="I73">
        <v>30.9</v>
      </c>
      <c r="J73" s="2">
        <f t="shared" si="1"/>
        <v>14.304721895512174</v>
      </c>
      <c r="K73" s="2">
        <f t="shared" si="2"/>
        <v>5.4534169201166947</v>
      </c>
      <c r="L73" s="2">
        <f t="shared" si="3"/>
        <v>13.973611144004678</v>
      </c>
      <c r="M73" s="2">
        <f t="shared" si="4"/>
        <v>14.305776955409044</v>
      </c>
      <c r="N73" s="2">
        <f t="shared" si="5"/>
        <v>14.238086428135773</v>
      </c>
      <c r="O73" s="2">
        <f t="shared" si="6"/>
        <v>10.985310262610199</v>
      </c>
      <c r="P73" s="2">
        <f t="shared" si="7"/>
        <v>2.7944111776447187</v>
      </c>
    </row>
    <row r="74" spans="1:16" hidden="1" x14ac:dyDescent="0.35">
      <c r="A74">
        <v>2555</v>
      </c>
      <c r="B74" t="s">
        <v>9</v>
      </c>
      <c r="C74">
        <v>23109.9</v>
      </c>
      <c r="D74">
        <v>840.1</v>
      </c>
      <c r="E74">
        <v>23950</v>
      </c>
      <c r="F74">
        <v>23450</v>
      </c>
      <c r="G74">
        <v>23550</v>
      </c>
      <c r="H74">
        <v>1585.27</v>
      </c>
      <c r="I74">
        <v>31.36</v>
      </c>
      <c r="J74" s="2">
        <f t="shared" si="1"/>
        <v>8.5239319550593677</v>
      </c>
      <c r="K74" s="2">
        <f t="shared" si="2"/>
        <v>3.2583979645767442</v>
      </c>
      <c r="L74" s="2">
        <f t="shared" si="3"/>
        <v>8.3302085684445473</v>
      </c>
      <c r="M74" s="2">
        <f t="shared" si="4"/>
        <v>8.5229631350502331</v>
      </c>
      <c r="N74" s="2">
        <f t="shared" si="5"/>
        <v>8.4837018784954807</v>
      </c>
      <c r="O74" s="2">
        <f t="shared" si="6"/>
        <v>4.5809886332900192</v>
      </c>
      <c r="P74" s="2">
        <f t="shared" si="7"/>
        <v>3.6009250082589972</v>
      </c>
    </row>
    <row r="75" spans="1:16" hidden="1" x14ac:dyDescent="0.35">
      <c r="A75">
        <v>2555</v>
      </c>
      <c r="B75" t="s">
        <v>10</v>
      </c>
      <c r="C75">
        <v>23508.31</v>
      </c>
      <c r="D75">
        <v>845.69</v>
      </c>
      <c r="E75">
        <v>24354</v>
      </c>
      <c r="F75">
        <v>23854</v>
      </c>
      <c r="G75">
        <v>23954</v>
      </c>
      <c r="H75">
        <v>1596.63</v>
      </c>
      <c r="I75">
        <v>31.68</v>
      </c>
      <c r="J75" s="2">
        <f t="shared" si="1"/>
        <v>8.3459077698495605</v>
      </c>
      <c r="K75" s="2">
        <f t="shared" si="2"/>
        <v>3.1517960602549238</v>
      </c>
      <c r="L75" s="2">
        <f t="shared" si="3"/>
        <v>8.1567913751686945</v>
      </c>
      <c r="M75" s="2">
        <f t="shared" si="4"/>
        <v>8.3420272503771002</v>
      </c>
      <c r="N75" s="2">
        <f t="shared" si="5"/>
        <v>8.3043100630230384</v>
      </c>
      <c r="O75" s="2">
        <f t="shared" si="6"/>
        <v>4.3951589174910737</v>
      </c>
      <c r="P75" s="2">
        <f t="shared" si="7"/>
        <v>3.7667867671143114</v>
      </c>
    </row>
    <row r="76" spans="1:16" hidden="1" x14ac:dyDescent="0.35">
      <c r="A76">
        <v>2555</v>
      </c>
      <c r="B76" t="s">
        <v>11</v>
      </c>
      <c r="C76">
        <v>23444.94</v>
      </c>
      <c r="D76">
        <v>845.44</v>
      </c>
      <c r="E76">
        <v>24290.38</v>
      </c>
      <c r="F76">
        <v>23790.38</v>
      </c>
      <c r="G76">
        <v>23890.38</v>
      </c>
      <c r="H76">
        <v>1593.55</v>
      </c>
      <c r="I76">
        <v>31.66</v>
      </c>
      <c r="J76" s="2">
        <f t="shared" si="1"/>
        <v>6.7882812713508685</v>
      </c>
      <c r="K76" s="2">
        <f t="shared" si="2"/>
        <v>2.8103072975569319</v>
      </c>
      <c r="L76" s="2">
        <f t="shared" si="3"/>
        <v>6.6447087665935527</v>
      </c>
      <c r="M76" s="2">
        <f t="shared" si="4"/>
        <v>6.7938476234596266</v>
      </c>
      <c r="N76" s="2">
        <f t="shared" si="5"/>
        <v>6.7634866639376696</v>
      </c>
      <c r="O76" s="2">
        <f t="shared" si="6"/>
        <v>1.5601598399051682</v>
      </c>
      <c r="P76" s="2">
        <f t="shared" si="7"/>
        <v>5.2876621217159823</v>
      </c>
    </row>
    <row r="77" spans="1:16" hidden="1" x14ac:dyDescent="0.35">
      <c r="A77">
        <v>2555</v>
      </c>
      <c r="B77" t="s">
        <v>12</v>
      </c>
      <c r="C77">
        <v>23803.02</v>
      </c>
      <c r="D77">
        <v>850.98</v>
      </c>
      <c r="E77">
        <v>24654</v>
      </c>
      <c r="F77">
        <v>24154</v>
      </c>
      <c r="G77">
        <v>24254</v>
      </c>
      <c r="H77">
        <v>1629.38</v>
      </c>
      <c r="I77">
        <v>31.44</v>
      </c>
      <c r="J77" s="2">
        <f t="shared" si="1"/>
        <v>-2.9661284687755796</v>
      </c>
      <c r="K77" s="2">
        <f t="shared" si="2"/>
        <v>-1.2417602822393405</v>
      </c>
      <c r="L77" s="2">
        <f t="shared" si="3"/>
        <v>-2.9076125803442068</v>
      </c>
      <c r="M77" s="2">
        <f t="shared" si="4"/>
        <v>-2.9660164122976198</v>
      </c>
      <c r="N77" s="2">
        <f t="shared" si="5"/>
        <v>-2.9541486961389296</v>
      </c>
      <c r="O77" s="2">
        <f t="shared" si="6"/>
        <v>-7.5623482424489907</v>
      </c>
      <c r="P77" s="2">
        <f t="shared" si="7"/>
        <v>5.1505016722408072</v>
      </c>
    </row>
    <row r="78" spans="1:16" hidden="1" x14ac:dyDescent="0.35">
      <c r="A78">
        <v>2555</v>
      </c>
      <c r="B78" t="s">
        <v>13</v>
      </c>
      <c r="C78">
        <v>25083.13</v>
      </c>
      <c r="D78">
        <v>868.87</v>
      </c>
      <c r="E78">
        <v>25952</v>
      </c>
      <c r="F78">
        <v>25452</v>
      </c>
      <c r="G78">
        <v>25552</v>
      </c>
      <c r="H78">
        <v>1742.43</v>
      </c>
      <c r="I78">
        <v>30.99</v>
      </c>
      <c r="J78" s="2">
        <f t="shared" ref="J78:J141" si="8">C78/C66*100-100</f>
        <v>-0.73022252968618773</v>
      </c>
      <c r="K78" s="2">
        <f t="shared" ref="K78:K141" si="9">D78/D66*100-100</f>
        <v>-0.22392687352152052</v>
      </c>
      <c r="L78" s="2">
        <f t="shared" ref="L78:L141" si="10">E78/E66*100-100</f>
        <v>-0.71335495664243354</v>
      </c>
      <c r="M78" s="2">
        <f t="shared" ref="M78:M141" si="11">F78/F66*100-100</f>
        <v>-0.72726677031302245</v>
      </c>
      <c r="N78" s="2">
        <f t="shared" ref="N78:N141" si="12">G78/G66*100-100</f>
        <v>-0.72444116703174188</v>
      </c>
      <c r="O78" s="2">
        <f t="shared" ref="O78:O141" si="13">H78/H66*100-100</f>
        <v>-2.1106741573033787</v>
      </c>
      <c r="P78" s="2">
        <f t="shared" ref="P78:P141" si="14">I78/I66*100-100</f>
        <v>1.8068331143232541</v>
      </c>
    </row>
    <row r="79" spans="1:16" hidden="1" x14ac:dyDescent="0.35">
      <c r="A79">
        <v>2555</v>
      </c>
      <c r="B79" t="s">
        <v>14</v>
      </c>
      <c r="C79">
        <v>24949.86</v>
      </c>
      <c r="D79">
        <v>869.37</v>
      </c>
      <c r="E79">
        <v>25819.23</v>
      </c>
      <c r="F79">
        <v>25319.23</v>
      </c>
      <c r="G79">
        <v>25419.23</v>
      </c>
      <c r="H79">
        <v>1747.77</v>
      </c>
      <c r="I79">
        <v>30.7</v>
      </c>
      <c r="J79" s="2">
        <f t="shared" si="8"/>
        <v>4.0992382146066859</v>
      </c>
      <c r="K79" s="2">
        <f t="shared" si="9"/>
        <v>1.8259973295228207</v>
      </c>
      <c r="L79" s="2">
        <f t="shared" si="10"/>
        <v>4.021086855363265</v>
      </c>
      <c r="M79" s="2">
        <f t="shared" si="11"/>
        <v>4.1037533175857277</v>
      </c>
      <c r="N79" s="2">
        <f t="shared" si="12"/>
        <v>4.086949222292958</v>
      </c>
      <c r="O79" s="2">
        <f t="shared" si="13"/>
        <v>4.7760925603980553</v>
      </c>
      <c r="P79" s="2">
        <f t="shared" si="14"/>
        <v>-0.61508578828099303</v>
      </c>
    </row>
    <row r="80" spans="1:16" hidden="1" x14ac:dyDescent="0.35">
      <c r="A80">
        <v>2555</v>
      </c>
      <c r="B80" t="s">
        <v>15</v>
      </c>
      <c r="C80">
        <v>24618.09</v>
      </c>
      <c r="D80">
        <v>862.68</v>
      </c>
      <c r="E80">
        <v>25480.77</v>
      </c>
      <c r="F80">
        <v>24980.77</v>
      </c>
      <c r="G80">
        <v>25080.77</v>
      </c>
      <c r="H80">
        <v>1724.59</v>
      </c>
      <c r="I80">
        <v>30.71</v>
      </c>
      <c r="J80" s="2">
        <f t="shared" si="8"/>
        <v>-1.5804716028435735</v>
      </c>
      <c r="K80" s="2">
        <f t="shared" si="9"/>
        <v>-0.53842162910014224</v>
      </c>
      <c r="L80" s="2">
        <f t="shared" si="10"/>
        <v>-1.5455490698306136</v>
      </c>
      <c r="M80" s="2">
        <f t="shared" si="11"/>
        <v>-1.5759963153206229</v>
      </c>
      <c r="N80" s="2">
        <f t="shared" si="12"/>
        <v>-1.5698112733641807</v>
      </c>
      <c r="O80" s="2">
        <f t="shared" si="13"/>
        <v>-0.74416409595285415</v>
      </c>
      <c r="P80" s="2">
        <f t="shared" si="14"/>
        <v>-0.80749354005168072</v>
      </c>
    </row>
    <row r="81" spans="1:16" hidden="1" x14ac:dyDescent="0.35">
      <c r="A81">
        <v>2555</v>
      </c>
      <c r="B81" t="s">
        <v>16</v>
      </c>
      <c r="C81">
        <v>24063.97</v>
      </c>
      <c r="D81">
        <v>854.78</v>
      </c>
      <c r="E81">
        <v>24918.75</v>
      </c>
      <c r="F81">
        <v>24418.75</v>
      </c>
      <c r="G81">
        <v>24518.75</v>
      </c>
      <c r="H81">
        <v>1685.31</v>
      </c>
      <c r="I81">
        <v>30.65</v>
      </c>
      <c r="J81" s="2">
        <f t="shared" si="8"/>
        <v>0.12848951175234902</v>
      </c>
      <c r="K81" s="2">
        <f t="shared" si="9"/>
        <v>-0.11918672587052015</v>
      </c>
      <c r="L81" s="2">
        <f t="shared" si="10"/>
        <v>0.11997320892977825</v>
      </c>
      <c r="M81" s="2">
        <f t="shared" si="11"/>
        <v>0.12243279624453862</v>
      </c>
      <c r="N81" s="2">
        <f t="shared" si="12"/>
        <v>0.12193284383243963</v>
      </c>
      <c r="O81" s="2">
        <f t="shared" si="13"/>
        <v>1.7797613295970791</v>
      </c>
      <c r="P81" s="2">
        <f t="shared" si="14"/>
        <v>-1.8571886007044469</v>
      </c>
    </row>
    <row r="82" spans="1:16" hidden="1" x14ac:dyDescent="0.35">
      <c r="A82">
        <v>2556</v>
      </c>
      <c r="B82" t="s">
        <v>17</v>
      </c>
      <c r="C82">
        <v>23412.87</v>
      </c>
      <c r="D82">
        <v>844.82</v>
      </c>
      <c r="E82">
        <v>24257.69</v>
      </c>
      <c r="F82">
        <v>23757.69</v>
      </c>
      <c r="G82">
        <v>23857.69</v>
      </c>
      <c r="H82">
        <v>1672.57</v>
      </c>
      <c r="I82">
        <v>30.08</v>
      </c>
      <c r="J82" s="2">
        <f t="shared" si="8"/>
        <v>-3.5388775954996419</v>
      </c>
      <c r="K82" s="2">
        <f t="shared" si="9"/>
        <v>-1.6072302066105948</v>
      </c>
      <c r="L82" s="2">
        <f t="shared" si="10"/>
        <v>-3.4728414913712271</v>
      </c>
      <c r="M82" s="2">
        <f t="shared" si="11"/>
        <v>-3.5433404938525257</v>
      </c>
      <c r="N82" s="2">
        <f t="shared" si="12"/>
        <v>-3.5290126374672894</v>
      </c>
      <c r="O82" s="2">
        <f t="shared" si="13"/>
        <v>1.2837825563017446</v>
      </c>
      <c r="P82" s="2">
        <f t="shared" si="14"/>
        <v>-4.8402404302435968</v>
      </c>
    </row>
    <row r="83" spans="1:16" hidden="1" x14ac:dyDescent="0.35">
      <c r="A83">
        <v>2556</v>
      </c>
      <c r="B83" t="s">
        <v>18</v>
      </c>
      <c r="C83">
        <v>22683.31</v>
      </c>
      <c r="D83">
        <v>834.08</v>
      </c>
      <c r="E83">
        <v>23517.39</v>
      </c>
      <c r="F83">
        <v>23017.39</v>
      </c>
      <c r="G83">
        <v>23117.39</v>
      </c>
      <c r="H83">
        <v>1634</v>
      </c>
      <c r="I83">
        <v>29.83</v>
      </c>
      <c r="J83" s="2">
        <f t="shared" si="8"/>
        <v>-8.9422666614748323</v>
      </c>
      <c r="K83" s="2">
        <f t="shared" si="9"/>
        <v>-3.8069865873208073</v>
      </c>
      <c r="L83" s="2">
        <f t="shared" si="10"/>
        <v>-8.7695321592055251</v>
      </c>
      <c r="M83" s="2">
        <f t="shared" si="11"/>
        <v>-8.9429939077458727</v>
      </c>
      <c r="N83" s="2">
        <f t="shared" si="12"/>
        <v>-8.9077547482071111</v>
      </c>
      <c r="O83" s="2">
        <f t="shared" si="13"/>
        <v>-6.330434583216288</v>
      </c>
      <c r="P83" s="2">
        <f t="shared" si="14"/>
        <v>-2.9287341360234365</v>
      </c>
    </row>
    <row r="84" spans="1:16" hidden="1" x14ac:dyDescent="0.35">
      <c r="A84">
        <v>2556</v>
      </c>
      <c r="B84" t="s">
        <v>19</v>
      </c>
      <c r="C84">
        <v>21871.22</v>
      </c>
      <c r="D84">
        <v>823.02</v>
      </c>
      <c r="E84">
        <v>22694.23</v>
      </c>
      <c r="F84">
        <v>22194.23</v>
      </c>
      <c r="G84">
        <v>22294.23</v>
      </c>
      <c r="H84">
        <v>1592.93</v>
      </c>
      <c r="I84">
        <v>29.52</v>
      </c>
      <c r="J84" s="2">
        <f t="shared" si="8"/>
        <v>-8.8080961551851971</v>
      </c>
      <c r="K84" s="2">
        <f t="shared" si="9"/>
        <v>-3.6580940452081876</v>
      </c>
      <c r="L84" s="2">
        <f t="shared" si="10"/>
        <v>-8.6310089379176986</v>
      </c>
      <c r="M84" s="2">
        <f t="shared" si="11"/>
        <v>-8.8083244309310516</v>
      </c>
      <c r="N84" s="2">
        <f t="shared" si="12"/>
        <v>-8.7722808740486045</v>
      </c>
      <c r="O84" s="2">
        <f t="shared" si="13"/>
        <v>-5.0102865320969698</v>
      </c>
      <c r="P84" s="2">
        <f t="shared" si="14"/>
        <v>-3.90625</v>
      </c>
    </row>
    <row r="85" spans="1:16" hidden="1" x14ac:dyDescent="0.35">
      <c r="A85">
        <v>2556</v>
      </c>
      <c r="B85" t="s">
        <v>20</v>
      </c>
      <c r="C85">
        <v>20231.02</v>
      </c>
      <c r="D85">
        <v>798.53</v>
      </c>
      <c r="E85">
        <v>21029.55</v>
      </c>
      <c r="F85">
        <v>20529.55</v>
      </c>
      <c r="G85">
        <v>20629.55</v>
      </c>
      <c r="H85">
        <v>1501.3</v>
      </c>
      <c r="I85">
        <v>29.08</v>
      </c>
      <c r="J85" s="2">
        <f t="shared" si="8"/>
        <v>-14.61434896196036</v>
      </c>
      <c r="K85" s="2">
        <f t="shared" si="9"/>
        <v>-5.9977868813862756</v>
      </c>
      <c r="L85" s="2">
        <f t="shared" si="10"/>
        <v>-14.316115515593339</v>
      </c>
      <c r="M85" s="2">
        <f t="shared" si="11"/>
        <v>-14.613832280089412</v>
      </c>
      <c r="N85" s="2">
        <f t="shared" si="12"/>
        <v>-14.553302423293047</v>
      </c>
      <c r="O85" s="2">
        <f t="shared" si="13"/>
        <v>-8.8911949800037604</v>
      </c>
      <c r="P85" s="2">
        <f t="shared" si="14"/>
        <v>-5.8899676375404511</v>
      </c>
    </row>
    <row r="86" spans="1:16" hidden="1" x14ac:dyDescent="0.35">
      <c r="A86">
        <v>2556</v>
      </c>
      <c r="B86" t="s">
        <v>9</v>
      </c>
      <c r="C86">
        <v>19615.78</v>
      </c>
      <c r="D86">
        <v>790.47</v>
      </c>
      <c r="E86">
        <v>20406.25</v>
      </c>
      <c r="F86">
        <v>19906.25</v>
      </c>
      <c r="G86">
        <v>20006.25</v>
      </c>
      <c r="H86">
        <v>1414.08</v>
      </c>
      <c r="I86">
        <v>29.8</v>
      </c>
      <c r="J86" s="2">
        <f t="shared" si="8"/>
        <v>-15.119580785723869</v>
      </c>
      <c r="K86" s="2">
        <f t="shared" si="9"/>
        <v>-5.9076300440423779</v>
      </c>
      <c r="L86" s="2">
        <f t="shared" si="10"/>
        <v>-14.796450939457202</v>
      </c>
      <c r="M86" s="2">
        <f t="shared" si="11"/>
        <v>-15.111940298507463</v>
      </c>
      <c r="N86" s="2">
        <f t="shared" si="12"/>
        <v>-15.047770700636946</v>
      </c>
      <c r="O86" s="2">
        <f t="shared" si="13"/>
        <v>-10.798791373078416</v>
      </c>
      <c r="P86" s="2">
        <f t="shared" si="14"/>
        <v>-4.9744897959183731</v>
      </c>
    </row>
    <row r="87" spans="1:16" hidden="1" x14ac:dyDescent="0.35">
      <c r="A87">
        <v>2556</v>
      </c>
      <c r="B87" t="s">
        <v>10</v>
      </c>
      <c r="C87">
        <v>19255.02</v>
      </c>
      <c r="D87">
        <v>782.98</v>
      </c>
      <c r="E87">
        <v>20038</v>
      </c>
      <c r="F87">
        <v>19538</v>
      </c>
      <c r="G87">
        <v>19638</v>
      </c>
      <c r="H87">
        <v>1343.05</v>
      </c>
      <c r="I87">
        <v>30.83</v>
      </c>
      <c r="J87" s="2">
        <f t="shared" si="8"/>
        <v>-18.092708493294509</v>
      </c>
      <c r="K87" s="2">
        <f t="shared" si="9"/>
        <v>-7.4152467216119504</v>
      </c>
      <c r="L87" s="2">
        <f t="shared" si="10"/>
        <v>-17.721934795105525</v>
      </c>
      <c r="M87" s="2">
        <f t="shared" si="11"/>
        <v>-18.093401525949531</v>
      </c>
      <c r="N87" s="2">
        <f t="shared" si="12"/>
        <v>-18.017867579527419</v>
      </c>
      <c r="O87" s="2">
        <f t="shared" si="13"/>
        <v>-15.882201887726026</v>
      </c>
      <c r="P87" s="2">
        <f t="shared" si="14"/>
        <v>-2.6830808080808168</v>
      </c>
    </row>
    <row r="88" spans="1:16" hidden="1" x14ac:dyDescent="0.35">
      <c r="A88">
        <v>2556</v>
      </c>
      <c r="B88" t="s">
        <v>11</v>
      </c>
      <c r="C88">
        <v>18600.150000000001</v>
      </c>
      <c r="D88">
        <v>772.92</v>
      </c>
      <c r="E88">
        <v>19373.080000000002</v>
      </c>
      <c r="F88">
        <v>18873.080000000002</v>
      </c>
      <c r="G88">
        <v>18973.080000000002</v>
      </c>
      <c r="H88">
        <v>1284.1600000000001</v>
      </c>
      <c r="I88">
        <v>31.14</v>
      </c>
      <c r="J88" s="2">
        <f t="shared" si="8"/>
        <v>-20.664544247074204</v>
      </c>
      <c r="K88" s="2">
        <f t="shared" si="9"/>
        <v>-8.5777819833459574</v>
      </c>
      <c r="L88" s="2">
        <f t="shared" si="10"/>
        <v>-20.243816687923371</v>
      </c>
      <c r="M88" s="2">
        <f t="shared" si="11"/>
        <v>-20.669278927028486</v>
      </c>
      <c r="N88" s="2">
        <f t="shared" si="12"/>
        <v>-20.582761764358708</v>
      </c>
      <c r="O88" s="2">
        <f t="shared" si="13"/>
        <v>-19.415142292366099</v>
      </c>
      <c r="P88" s="2">
        <f t="shared" si="14"/>
        <v>-1.6424510423246943</v>
      </c>
    </row>
    <row r="89" spans="1:16" hidden="1" x14ac:dyDescent="0.35">
      <c r="A89">
        <v>2556</v>
      </c>
      <c r="B89" t="s">
        <v>12</v>
      </c>
      <c r="C89">
        <v>19857.849999999999</v>
      </c>
      <c r="D89">
        <v>792.15</v>
      </c>
      <c r="E89">
        <v>20650</v>
      </c>
      <c r="F89">
        <v>20150</v>
      </c>
      <c r="G89">
        <v>20250</v>
      </c>
      <c r="H89">
        <v>1350</v>
      </c>
      <c r="I89">
        <v>31.62</v>
      </c>
      <c r="J89" s="2">
        <f t="shared" si="8"/>
        <v>-16.574241419786233</v>
      </c>
      <c r="K89" s="2">
        <f t="shared" si="9"/>
        <v>-6.9132059507861641</v>
      </c>
      <c r="L89" s="2">
        <f t="shared" si="10"/>
        <v>-16.240772288472456</v>
      </c>
      <c r="M89" s="2">
        <f t="shared" si="11"/>
        <v>-16.576964477933259</v>
      </c>
      <c r="N89" s="2">
        <f t="shared" si="12"/>
        <v>-16.508617135317877</v>
      </c>
      <c r="O89" s="2">
        <f t="shared" si="13"/>
        <v>-17.146399243884176</v>
      </c>
      <c r="P89" s="2">
        <f t="shared" si="14"/>
        <v>0.5725190839694676</v>
      </c>
    </row>
    <row r="90" spans="1:16" hidden="1" x14ac:dyDescent="0.35">
      <c r="A90">
        <v>2556</v>
      </c>
      <c r="B90" t="s">
        <v>13</v>
      </c>
      <c r="C90">
        <v>19884.46</v>
      </c>
      <c r="D90">
        <v>791.54</v>
      </c>
      <c r="E90">
        <v>20676</v>
      </c>
      <c r="F90">
        <v>20176</v>
      </c>
      <c r="G90">
        <v>20276</v>
      </c>
      <c r="H90">
        <v>1350.5</v>
      </c>
      <c r="I90">
        <v>31.7</v>
      </c>
      <c r="J90" s="2">
        <f t="shared" si="8"/>
        <v>-20.725762693890289</v>
      </c>
      <c r="K90" s="2">
        <f t="shared" si="9"/>
        <v>-8.9000656024491605</v>
      </c>
      <c r="L90" s="2">
        <f t="shared" si="10"/>
        <v>-20.329839704069059</v>
      </c>
      <c r="M90" s="2">
        <f t="shared" si="11"/>
        <v>-20.729215778720729</v>
      </c>
      <c r="N90" s="2">
        <f t="shared" si="12"/>
        <v>-20.648090169067004</v>
      </c>
      <c r="O90" s="2">
        <f t="shared" si="13"/>
        <v>-22.493299587357882</v>
      </c>
      <c r="P90" s="2">
        <f t="shared" si="14"/>
        <v>2.2910616327847606</v>
      </c>
    </row>
    <row r="91" spans="1:16" hidden="1" x14ac:dyDescent="0.35">
      <c r="A91">
        <v>2556</v>
      </c>
      <c r="B91" t="s">
        <v>14</v>
      </c>
      <c r="C91">
        <v>19071.86</v>
      </c>
      <c r="D91">
        <v>780.06</v>
      </c>
      <c r="E91">
        <v>19851.919999999998</v>
      </c>
      <c r="F91">
        <v>19351.919999999998</v>
      </c>
      <c r="G91">
        <v>19451.919999999998</v>
      </c>
      <c r="H91">
        <v>1315.23</v>
      </c>
      <c r="I91">
        <v>31.22</v>
      </c>
      <c r="J91" s="2">
        <f t="shared" si="8"/>
        <v>-23.559250432667753</v>
      </c>
      <c r="K91" s="2">
        <f t="shared" si="9"/>
        <v>-10.272956278684575</v>
      </c>
      <c r="L91" s="2">
        <f t="shared" si="10"/>
        <v>-23.111882112673385</v>
      </c>
      <c r="M91" s="2">
        <f t="shared" si="11"/>
        <v>-23.568291768746533</v>
      </c>
      <c r="N91" s="2">
        <f t="shared" si="12"/>
        <v>-23.475573414300911</v>
      </c>
      <c r="O91" s="2">
        <f t="shared" si="13"/>
        <v>-24.748107588527091</v>
      </c>
      <c r="P91" s="2">
        <f t="shared" si="14"/>
        <v>1.6938110749185711</v>
      </c>
    </row>
    <row r="92" spans="1:16" hidden="1" x14ac:dyDescent="0.35">
      <c r="A92">
        <v>2556</v>
      </c>
      <c r="B92" t="s">
        <v>15</v>
      </c>
      <c r="C92">
        <v>18811.810000000001</v>
      </c>
      <c r="D92">
        <v>776.65</v>
      </c>
      <c r="E92">
        <v>19588.46</v>
      </c>
      <c r="F92">
        <v>19088.46</v>
      </c>
      <c r="G92">
        <v>19188.46</v>
      </c>
      <c r="H92">
        <v>1278.55</v>
      </c>
      <c r="I92">
        <v>31.65</v>
      </c>
      <c r="J92" s="2">
        <f t="shared" si="8"/>
        <v>-23.585420314898514</v>
      </c>
      <c r="K92" s="2">
        <f t="shared" si="9"/>
        <v>-9.9724115546900265</v>
      </c>
      <c r="L92" s="2">
        <f t="shared" si="10"/>
        <v>-23.124536660391342</v>
      </c>
      <c r="M92" s="2">
        <f t="shared" si="11"/>
        <v>-23.587383415323075</v>
      </c>
      <c r="N92" s="2">
        <f t="shared" si="12"/>
        <v>-23.493337724479758</v>
      </c>
      <c r="O92" s="2">
        <f t="shared" si="13"/>
        <v>-25.863538580184269</v>
      </c>
      <c r="P92" s="2">
        <f t="shared" si="14"/>
        <v>3.0608922175187132</v>
      </c>
    </row>
    <row r="93" spans="1:16" hidden="1" x14ac:dyDescent="0.35">
      <c r="A93">
        <v>2556</v>
      </c>
      <c r="B93" t="s">
        <v>16</v>
      </c>
      <c r="C93">
        <v>18399.82</v>
      </c>
      <c r="D93">
        <v>771.02</v>
      </c>
      <c r="E93">
        <v>19170.830000000002</v>
      </c>
      <c r="F93">
        <v>18670.830000000002</v>
      </c>
      <c r="G93">
        <v>18770.830000000002</v>
      </c>
      <c r="H93">
        <v>1223.24</v>
      </c>
      <c r="I93">
        <v>32.369999999999997</v>
      </c>
      <c r="J93" s="2">
        <f t="shared" si="8"/>
        <v>-23.537886724426599</v>
      </c>
      <c r="K93" s="2">
        <f t="shared" si="9"/>
        <v>-9.7990126114321754</v>
      </c>
      <c r="L93" s="2">
        <f t="shared" si="10"/>
        <v>-23.066646601454721</v>
      </c>
      <c r="M93" s="2">
        <f t="shared" si="11"/>
        <v>-23.538960839518808</v>
      </c>
      <c r="N93" s="2">
        <f t="shared" si="12"/>
        <v>-23.44295692072393</v>
      </c>
      <c r="O93" s="2">
        <f t="shared" si="13"/>
        <v>-27.417507758216587</v>
      </c>
      <c r="P93" s="2">
        <f t="shared" si="14"/>
        <v>5.6117455138662251</v>
      </c>
    </row>
    <row r="94" spans="1:16" hidden="1" x14ac:dyDescent="0.35">
      <c r="A94">
        <v>2557</v>
      </c>
      <c r="B94" t="s">
        <v>17</v>
      </c>
      <c r="C94">
        <v>19045.04</v>
      </c>
      <c r="D94">
        <v>779.96</v>
      </c>
      <c r="E94">
        <v>19825</v>
      </c>
      <c r="F94">
        <v>19325</v>
      </c>
      <c r="G94">
        <v>19425</v>
      </c>
      <c r="H94">
        <v>1243.95</v>
      </c>
      <c r="I94">
        <v>32.94</v>
      </c>
      <c r="J94" s="2">
        <f t="shared" si="8"/>
        <v>-18.655679547189209</v>
      </c>
      <c r="K94" s="2">
        <f t="shared" si="9"/>
        <v>-7.677375062143426</v>
      </c>
      <c r="L94" s="2">
        <f t="shared" si="10"/>
        <v>-18.273339299826148</v>
      </c>
      <c r="M94" s="2">
        <f t="shared" si="11"/>
        <v>-18.657916657722183</v>
      </c>
      <c r="N94" s="2">
        <f t="shared" si="12"/>
        <v>-18.57971161499708</v>
      </c>
      <c r="O94" s="2">
        <f t="shared" si="13"/>
        <v>-25.626431180757749</v>
      </c>
      <c r="P94" s="2">
        <f t="shared" si="14"/>
        <v>9.5079787234042499</v>
      </c>
    </row>
    <row r="95" spans="1:16" hidden="1" x14ac:dyDescent="0.35">
      <c r="A95">
        <v>2557</v>
      </c>
      <c r="B95" t="s">
        <v>18</v>
      </c>
      <c r="C95">
        <v>19668.45</v>
      </c>
      <c r="D95">
        <v>790.24</v>
      </c>
      <c r="E95">
        <v>20458.7</v>
      </c>
      <c r="F95">
        <v>19958.7</v>
      </c>
      <c r="G95">
        <v>20058.7</v>
      </c>
      <c r="H95">
        <v>1298.6099999999999</v>
      </c>
      <c r="I95">
        <v>32.659999999999997</v>
      </c>
      <c r="J95" s="2">
        <f t="shared" si="8"/>
        <v>-13.291093760125833</v>
      </c>
      <c r="K95" s="2">
        <f t="shared" si="9"/>
        <v>-5.2560905428735936</v>
      </c>
      <c r="L95" s="2">
        <f t="shared" si="10"/>
        <v>-13.006077630213213</v>
      </c>
      <c r="M95" s="2">
        <f t="shared" si="11"/>
        <v>-13.288604833128332</v>
      </c>
      <c r="N95" s="2">
        <f t="shared" si="12"/>
        <v>-13.231121679393738</v>
      </c>
      <c r="O95" s="2">
        <f t="shared" si="13"/>
        <v>-20.525703794369647</v>
      </c>
      <c r="P95" s="2">
        <f t="shared" si="14"/>
        <v>9.4870935300033494</v>
      </c>
    </row>
    <row r="96" spans="1:16" hidden="1" x14ac:dyDescent="0.35">
      <c r="A96">
        <v>2557</v>
      </c>
      <c r="B96" t="s">
        <v>19</v>
      </c>
      <c r="C96">
        <v>20127.82</v>
      </c>
      <c r="D96">
        <v>795.26</v>
      </c>
      <c r="E96">
        <v>20923.080000000002</v>
      </c>
      <c r="F96">
        <v>20423.080000000002</v>
      </c>
      <c r="G96">
        <v>20523.080000000002</v>
      </c>
      <c r="H96">
        <v>1337.26</v>
      </c>
      <c r="I96">
        <v>32.4</v>
      </c>
      <c r="J96" s="2">
        <f t="shared" si="8"/>
        <v>-7.9712059958246613</v>
      </c>
      <c r="K96" s="2">
        <f t="shared" si="9"/>
        <v>-3.3729435493669655</v>
      </c>
      <c r="L96" s="2">
        <f t="shared" si="10"/>
        <v>-7.80440667077049</v>
      </c>
      <c r="M96" s="2">
        <f t="shared" si="11"/>
        <v>-7.9802272933100085</v>
      </c>
      <c r="N96" s="2">
        <f t="shared" si="12"/>
        <v>-7.9444322589297656</v>
      </c>
      <c r="O96" s="2">
        <f t="shared" si="13"/>
        <v>-16.050297250977763</v>
      </c>
      <c r="P96" s="2">
        <f t="shared" si="14"/>
        <v>9.75609756097559</v>
      </c>
    </row>
    <row r="97" spans="1:16" hidden="1" x14ac:dyDescent="0.35">
      <c r="A97">
        <v>2557</v>
      </c>
      <c r="B97" t="s">
        <v>20</v>
      </c>
      <c r="C97">
        <v>19504.599999999999</v>
      </c>
      <c r="D97">
        <v>787.06</v>
      </c>
      <c r="E97">
        <v>20291.669999999998</v>
      </c>
      <c r="F97">
        <v>19791.669999999998</v>
      </c>
      <c r="G97">
        <v>19891.669999999998</v>
      </c>
      <c r="H97">
        <v>1296.5</v>
      </c>
      <c r="I97">
        <v>32.32</v>
      </c>
      <c r="J97" s="2">
        <f t="shared" si="8"/>
        <v>-3.5906246941577962</v>
      </c>
      <c r="K97" s="2">
        <f t="shared" si="9"/>
        <v>-1.4363893654590356</v>
      </c>
      <c r="L97" s="2">
        <f t="shared" si="10"/>
        <v>-3.5087769353124685</v>
      </c>
      <c r="M97" s="2">
        <f t="shared" si="11"/>
        <v>-3.5942336777961543</v>
      </c>
      <c r="N97" s="2">
        <f t="shared" si="12"/>
        <v>-3.5768109338303589</v>
      </c>
      <c r="O97" s="2">
        <f t="shared" si="13"/>
        <v>-13.641510690734691</v>
      </c>
      <c r="P97" s="2">
        <f t="shared" si="14"/>
        <v>11.141678129298498</v>
      </c>
    </row>
    <row r="98" spans="1:16" hidden="1" x14ac:dyDescent="0.35">
      <c r="A98">
        <v>2557</v>
      </c>
      <c r="B98" t="s">
        <v>9</v>
      </c>
      <c r="C98">
        <v>19492.599999999999</v>
      </c>
      <c r="D98">
        <v>788.65</v>
      </c>
      <c r="E98">
        <v>20281.25</v>
      </c>
      <c r="F98">
        <v>19781.25</v>
      </c>
      <c r="G98">
        <v>19881.25</v>
      </c>
      <c r="H98">
        <v>1290.0899999999999</v>
      </c>
      <c r="I98">
        <v>32.54</v>
      </c>
      <c r="J98" s="2">
        <f t="shared" si="8"/>
        <v>-0.62796381280784885</v>
      </c>
      <c r="K98" s="2">
        <f t="shared" si="9"/>
        <v>-0.23024276696142465</v>
      </c>
      <c r="L98" s="2">
        <f t="shared" si="10"/>
        <v>-0.6125574272588068</v>
      </c>
      <c r="M98" s="2">
        <f t="shared" si="11"/>
        <v>-0.62794348508634812</v>
      </c>
      <c r="N98" s="2">
        <f t="shared" si="12"/>
        <v>-0.62480474851608392</v>
      </c>
      <c r="O98" s="2">
        <f t="shared" si="13"/>
        <v>-8.7682450780719705</v>
      </c>
      <c r="P98" s="2">
        <f t="shared" si="14"/>
        <v>9.1946308724832164</v>
      </c>
    </row>
    <row r="99" spans="1:16" hidden="1" x14ac:dyDescent="0.35">
      <c r="A99">
        <v>2557</v>
      </c>
      <c r="B99" t="s">
        <v>10</v>
      </c>
      <c r="C99">
        <v>19336.28</v>
      </c>
      <c r="D99">
        <v>783.72</v>
      </c>
      <c r="E99">
        <v>20120</v>
      </c>
      <c r="F99">
        <v>19620</v>
      </c>
      <c r="G99">
        <v>19720</v>
      </c>
      <c r="H99">
        <v>1278.21</v>
      </c>
      <c r="I99">
        <v>32.520000000000003</v>
      </c>
      <c r="J99" s="2">
        <f t="shared" si="8"/>
        <v>0.42201981613105488</v>
      </c>
      <c r="K99" s="2">
        <f t="shared" si="9"/>
        <v>9.4510715471656681E-2</v>
      </c>
      <c r="L99" s="2">
        <f t="shared" si="10"/>
        <v>0.40922247729314165</v>
      </c>
      <c r="M99" s="2">
        <f t="shared" si="11"/>
        <v>0.41969495342408436</v>
      </c>
      <c r="N99" s="2">
        <f t="shared" si="12"/>
        <v>0.4175577961095911</v>
      </c>
      <c r="O99" s="2">
        <f t="shared" si="13"/>
        <v>-4.8278172815606268</v>
      </c>
      <c r="P99" s="2">
        <f t="shared" si="14"/>
        <v>5.4816736944534767</v>
      </c>
    </row>
    <row r="100" spans="1:16" hidden="1" x14ac:dyDescent="0.35">
      <c r="A100">
        <v>2557</v>
      </c>
      <c r="B100" t="s">
        <v>11</v>
      </c>
      <c r="C100">
        <v>19587.330000000002</v>
      </c>
      <c r="D100">
        <v>788.67</v>
      </c>
      <c r="E100">
        <v>20376</v>
      </c>
      <c r="F100">
        <v>19876</v>
      </c>
      <c r="G100">
        <v>19976</v>
      </c>
      <c r="H100">
        <v>1311.98</v>
      </c>
      <c r="I100">
        <v>32.159999999999997</v>
      </c>
      <c r="J100" s="2">
        <f t="shared" si="8"/>
        <v>5.3073765534148833</v>
      </c>
      <c r="K100" s="2">
        <f t="shared" si="9"/>
        <v>2.0377270610153744</v>
      </c>
      <c r="L100" s="2">
        <f t="shared" si="10"/>
        <v>5.1768743018662917</v>
      </c>
      <c r="M100" s="2">
        <f t="shared" si="11"/>
        <v>5.3140239960832929</v>
      </c>
      <c r="N100" s="2">
        <f t="shared" si="12"/>
        <v>5.2860157654950939</v>
      </c>
      <c r="O100" s="2">
        <f t="shared" si="13"/>
        <v>2.1663967106902504</v>
      </c>
      <c r="P100" s="2">
        <f t="shared" si="14"/>
        <v>3.2755298651252218</v>
      </c>
    </row>
    <row r="101" spans="1:16" hidden="1" x14ac:dyDescent="0.35">
      <c r="A101">
        <v>2557</v>
      </c>
      <c r="B101" t="s">
        <v>12</v>
      </c>
      <c r="C101">
        <v>19278.669999999998</v>
      </c>
      <c r="D101">
        <v>783.33</v>
      </c>
      <c r="E101">
        <v>20062</v>
      </c>
      <c r="F101">
        <v>19562</v>
      </c>
      <c r="G101">
        <v>19662</v>
      </c>
      <c r="H101">
        <v>1295.05</v>
      </c>
      <c r="I101">
        <v>32.020000000000003</v>
      </c>
      <c r="J101" s="2">
        <f t="shared" si="8"/>
        <v>-2.9166299473507991</v>
      </c>
      <c r="K101" s="2">
        <f t="shared" si="9"/>
        <v>-1.1134254875970413</v>
      </c>
      <c r="L101" s="2">
        <f t="shared" si="10"/>
        <v>-2.8474576271186436</v>
      </c>
      <c r="M101" s="2">
        <f t="shared" si="11"/>
        <v>-2.9181141439205902</v>
      </c>
      <c r="N101" s="2">
        <f t="shared" si="12"/>
        <v>-2.9037037037037123</v>
      </c>
      <c r="O101" s="2">
        <f t="shared" si="13"/>
        <v>-4.0703703703703695</v>
      </c>
      <c r="P101" s="2">
        <f t="shared" si="14"/>
        <v>1.2650221378874136</v>
      </c>
    </row>
    <row r="102" spans="1:16" hidden="1" x14ac:dyDescent="0.35">
      <c r="A102">
        <v>2557</v>
      </c>
      <c r="B102" t="s">
        <v>13</v>
      </c>
      <c r="C102">
        <v>18575.080000000002</v>
      </c>
      <c r="D102">
        <v>774.92</v>
      </c>
      <c r="E102">
        <v>19350</v>
      </c>
      <c r="F102">
        <v>18850</v>
      </c>
      <c r="G102">
        <v>18950</v>
      </c>
      <c r="H102">
        <v>1241.8499999999999</v>
      </c>
      <c r="I102">
        <v>32.200000000000003</v>
      </c>
      <c r="J102" s="2">
        <f t="shared" si="8"/>
        <v>-6.5849412053432559</v>
      </c>
      <c r="K102" s="2">
        <f t="shared" si="9"/>
        <v>-2.0997043737524308</v>
      </c>
      <c r="L102" s="2">
        <f t="shared" si="10"/>
        <v>-6.4132327336041755</v>
      </c>
      <c r="M102" s="2">
        <f t="shared" si="11"/>
        <v>-6.5721649484536044</v>
      </c>
      <c r="N102" s="2">
        <f t="shared" si="12"/>
        <v>-6.5397514302623705</v>
      </c>
      <c r="O102" s="2">
        <f t="shared" si="13"/>
        <v>-8.0451684561273709</v>
      </c>
      <c r="P102" s="2">
        <f t="shared" si="14"/>
        <v>1.5772870662460718</v>
      </c>
    </row>
    <row r="103" spans="1:16" hidden="1" x14ac:dyDescent="0.35">
      <c r="A103">
        <v>2557</v>
      </c>
      <c r="B103" t="s">
        <v>14</v>
      </c>
      <c r="C103">
        <v>18462.55</v>
      </c>
      <c r="D103">
        <v>772.07</v>
      </c>
      <c r="E103">
        <v>19234.62</v>
      </c>
      <c r="F103">
        <v>18734.62</v>
      </c>
      <c r="G103">
        <v>18834.62</v>
      </c>
      <c r="H103">
        <v>1222.98</v>
      </c>
      <c r="I103">
        <v>32.479999999999997</v>
      </c>
      <c r="J103" s="2">
        <f t="shared" si="8"/>
        <v>-3.1948116229880128</v>
      </c>
      <c r="K103" s="2">
        <f t="shared" si="9"/>
        <v>-1.0242801835756126</v>
      </c>
      <c r="L103" s="2">
        <f t="shared" si="10"/>
        <v>-3.1095229076079249</v>
      </c>
      <c r="M103" s="2">
        <f t="shared" si="11"/>
        <v>-3.1898643648795542</v>
      </c>
      <c r="N103" s="2">
        <f t="shared" si="12"/>
        <v>-3.1734656527478933</v>
      </c>
      <c r="O103" s="2">
        <f t="shared" si="13"/>
        <v>-7.0139823452932291</v>
      </c>
      <c r="P103" s="2">
        <f t="shared" si="14"/>
        <v>4.0358744394618782</v>
      </c>
    </row>
    <row r="104" spans="1:16" hidden="1" x14ac:dyDescent="0.35">
      <c r="A104">
        <v>2557</v>
      </c>
      <c r="B104" t="s">
        <v>15</v>
      </c>
      <c r="C104">
        <v>17947.009999999998</v>
      </c>
      <c r="D104">
        <v>762.99</v>
      </c>
      <c r="E104">
        <v>18710</v>
      </c>
      <c r="F104">
        <v>18210</v>
      </c>
      <c r="G104">
        <v>18310</v>
      </c>
      <c r="H104">
        <v>1175.98</v>
      </c>
      <c r="I104">
        <v>32.81</v>
      </c>
      <c r="J104" s="2">
        <f t="shared" si="8"/>
        <v>-4.5971121332822378</v>
      </c>
      <c r="K104" s="2">
        <f t="shared" si="9"/>
        <v>-1.7588360265241647</v>
      </c>
      <c r="L104" s="2">
        <f t="shared" si="10"/>
        <v>-4.4845791859084301</v>
      </c>
      <c r="M104" s="2">
        <f t="shared" si="11"/>
        <v>-4.6020475198103981</v>
      </c>
      <c r="N104" s="2">
        <f t="shared" si="12"/>
        <v>-4.5780641072811363</v>
      </c>
      <c r="O104" s="2">
        <f t="shared" si="13"/>
        <v>-8.0223690899847497</v>
      </c>
      <c r="P104" s="2">
        <f t="shared" si="14"/>
        <v>3.665086887835713</v>
      </c>
    </row>
    <row r="105" spans="1:16" hidden="1" x14ac:dyDescent="0.35">
      <c r="A105">
        <v>2557</v>
      </c>
      <c r="B105" t="s">
        <v>16</v>
      </c>
      <c r="C105">
        <v>18341.78</v>
      </c>
      <c r="D105">
        <v>770.22</v>
      </c>
      <c r="E105">
        <v>19112</v>
      </c>
      <c r="F105">
        <v>18612</v>
      </c>
      <c r="G105">
        <v>18712</v>
      </c>
      <c r="H105">
        <v>1199.26</v>
      </c>
      <c r="I105">
        <v>32.92</v>
      </c>
      <c r="J105" s="2">
        <f t="shared" si="8"/>
        <v>-0.31543786841393739</v>
      </c>
      <c r="K105" s="2">
        <f t="shared" si="9"/>
        <v>-0.10375865736295964</v>
      </c>
      <c r="L105" s="2">
        <f t="shared" si="10"/>
        <v>-0.30687247239687565</v>
      </c>
      <c r="M105" s="2">
        <f t="shared" si="11"/>
        <v>-0.31509043786485336</v>
      </c>
      <c r="N105" s="2">
        <f t="shared" si="12"/>
        <v>-0.31341182036170778</v>
      </c>
      <c r="O105" s="2">
        <f t="shared" si="13"/>
        <v>-1.9603675484778194</v>
      </c>
      <c r="P105" s="2">
        <f t="shared" si="14"/>
        <v>1.6991041087426737</v>
      </c>
    </row>
    <row r="106" spans="1:16" hidden="1" x14ac:dyDescent="0.35">
      <c r="A106">
        <v>2558</v>
      </c>
      <c r="B106" t="s">
        <v>17</v>
      </c>
      <c r="C106">
        <v>19026.97</v>
      </c>
      <c r="D106">
        <v>780.73</v>
      </c>
      <c r="E106">
        <v>19807.689999999999</v>
      </c>
      <c r="F106">
        <v>19307.689999999999</v>
      </c>
      <c r="G106">
        <v>19407.689999999999</v>
      </c>
      <c r="H106">
        <v>1250.1199999999999</v>
      </c>
      <c r="I106">
        <v>32.74</v>
      </c>
      <c r="J106" s="2">
        <f t="shared" si="8"/>
        <v>-9.4880346798959181E-2</v>
      </c>
      <c r="K106" s="2">
        <f t="shared" si="9"/>
        <v>9.8723011436476327E-2</v>
      </c>
      <c r="L106" s="2">
        <f t="shared" si="10"/>
        <v>-8.731399747793489E-2</v>
      </c>
      <c r="M106" s="2">
        <f t="shared" si="11"/>
        <v>-8.9573091849942443E-2</v>
      </c>
      <c r="N106" s="2">
        <f t="shared" si="12"/>
        <v>-8.9111969111982603E-2</v>
      </c>
      <c r="O106" s="2">
        <f t="shared" si="13"/>
        <v>0.49600064311266578</v>
      </c>
      <c r="P106" s="2">
        <f t="shared" si="14"/>
        <v>-0.60716454159074829</v>
      </c>
    </row>
    <row r="107" spans="1:16" hidden="1" x14ac:dyDescent="0.35">
      <c r="A107">
        <v>2558</v>
      </c>
      <c r="B107" t="s">
        <v>18</v>
      </c>
      <c r="C107">
        <v>18629.75</v>
      </c>
      <c r="D107">
        <v>772.34</v>
      </c>
      <c r="E107">
        <v>19402.080000000002</v>
      </c>
      <c r="F107">
        <v>18902.080000000002</v>
      </c>
      <c r="G107">
        <v>19002.080000000002</v>
      </c>
      <c r="H107">
        <v>1231.78</v>
      </c>
      <c r="I107">
        <v>32.590000000000003</v>
      </c>
      <c r="J107" s="2">
        <f t="shared" si="8"/>
        <v>-5.281046549168849</v>
      </c>
      <c r="K107" s="2">
        <f t="shared" si="9"/>
        <v>-2.2651346426402057</v>
      </c>
      <c r="L107" s="2">
        <f t="shared" si="10"/>
        <v>-5.1646487802255194</v>
      </c>
      <c r="M107" s="2">
        <f t="shared" si="11"/>
        <v>-5.2940321764443468</v>
      </c>
      <c r="N107" s="2">
        <f t="shared" si="12"/>
        <v>-5.2676394781316844</v>
      </c>
      <c r="O107" s="2">
        <f t="shared" si="13"/>
        <v>-5.1462717829063251</v>
      </c>
      <c r="P107" s="2">
        <f t="shared" si="14"/>
        <v>-0.21432945499078926</v>
      </c>
    </row>
    <row r="108" spans="1:16" hidden="1" x14ac:dyDescent="0.35">
      <c r="A108">
        <v>2558</v>
      </c>
      <c r="B108" t="s">
        <v>19</v>
      </c>
      <c r="C108">
        <v>17907.599999999999</v>
      </c>
      <c r="D108">
        <v>764.4</v>
      </c>
      <c r="E108">
        <v>18672</v>
      </c>
      <c r="F108">
        <v>18172</v>
      </c>
      <c r="G108">
        <v>18272</v>
      </c>
      <c r="H108">
        <v>1180.07</v>
      </c>
      <c r="I108">
        <v>32.65</v>
      </c>
      <c r="J108" s="2">
        <f t="shared" si="8"/>
        <v>-11.03060341358379</v>
      </c>
      <c r="K108" s="2">
        <f t="shared" si="9"/>
        <v>-3.8804919145939749</v>
      </c>
      <c r="L108" s="2">
        <f t="shared" si="10"/>
        <v>-10.758836653112269</v>
      </c>
      <c r="M108" s="2">
        <f t="shared" si="11"/>
        <v>-11.022235627535125</v>
      </c>
      <c r="N108" s="2">
        <f t="shared" si="12"/>
        <v>-10.968529090175565</v>
      </c>
      <c r="O108" s="2">
        <f t="shared" si="13"/>
        <v>-11.754632606972464</v>
      </c>
      <c r="P108" s="2">
        <f t="shared" si="14"/>
        <v>0.77160493827159371</v>
      </c>
    </row>
    <row r="109" spans="1:16" hidden="1" x14ac:dyDescent="0.35">
      <c r="A109">
        <v>2558</v>
      </c>
      <c r="B109" t="s">
        <v>20</v>
      </c>
      <c r="C109">
        <v>18128.599999999999</v>
      </c>
      <c r="D109">
        <v>766.85</v>
      </c>
      <c r="E109">
        <v>18895.45</v>
      </c>
      <c r="F109">
        <v>18395.45</v>
      </c>
      <c r="G109">
        <v>18495.45</v>
      </c>
      <c r="H109">
        <v>1200.25</v>
      </c>
      <c r="I109">
        <v>32.54</v>
      </c>
      <c r="J109" s="2">
        <f t="shared" si="8"/>
        <v>-7.0547460599038203</v>
      </c>
      <c r="K109" s="2">
        <f t="shared" si="9"/>
        <v>-2.5677839046578299</v>
      </c>
      <c r="L109" s="2">
        <f t="shared" si="10"/>
        <v>-6.8807545165084889</v>
      </c>
      <c r="M109" s="2">
        <f t="shared" si="11"/>
        <v>-7.0545840750174165</v>
      </c>
      <c r="N109" s="2">
        <f t="shared" si="12"/>
        <v>-7.019119058379701</v>
      </c>
      <c r="O109" s="2">
        <f t="shared" si="13"/>
        <v>-7.423833397608945</v>
      </c>
      <c r="P109" s="2">
        <f t="shared" si="14"/>
        <v>0.6806930693069404</v>
      </c>
    </row>
    <row r="110" spans="1:16" hidden="1" x14ac:dyDescent="0.35">
      <c r="A110">
        <v>2558</v>
      </c>
      <c r="B110" t="s">
        <v>9</v>
      </c>
      <c r="C110">
        <v>18680.28</v>
      </c>
      <c r="D110">
        <v>773.89</v>
      </c>
      <c r="E110">
        <v>19454.169999999998</v>
      </c>
      <c r="F110">
        <v>18954.169999999998</v>
      </c>
      <c r="G110">
        <v>19054.169999999998</v>
      </c>
      <c r="H110">
        <v>1199.79</v>
      </c>
      <c r="I110">
        <v>33.58</v>
      </c>
      <c r="J110" s="2">
        <f t="shared" si="8"/>
        <v>-4.1673250361675684</v>
      </c>
      <c r="K110" s="2">
        <f t="shared" si="9"/>
        <v>-1.8715526532682389</v>
      </c>
      <c r="L110" s="2">
        <f t="shared" si="10"/>
        <v>-4.0780523882896915</v>
      </c>
      <c r="M110" s="2">
        <f t="shared" si="11"/>
        <v>-4.1811311216429772</v>
      </c>
      <c r="N110" s="2">
        <f t="shared" si="12"/>
        <v>-4.1601005972964629</v>
      </c>
      <c r="O110" s="2">
        <f t="shared" si="13"/>
        <v>-6.999511661977067</v>
      </c>
      <c r="P110" s="2">
        <f t="shared" si="14"/>
        <v>3.1960663798402038</v>
      </c>
    </row>
    <row r="111" spans="1:16" hidden="1" x14ac:dyDescent="0.35">
      <c r="A111">
        <v>2558</v>
      </c>
      <c r="B111" t="s">
        <v>10</v>
      </c>
      <c r="C111">
        <v>18547.349999999999</v>
      </c>
      <c r="D111">
        <v>772.65</v>
      </c>
      <c r="E111">
        <v>19320</v>
      </c>
      <c r="F111">
        <v>18820</v>
      </c>
      <c r="G111">
        <v>18920</v>
      </c>
      <c r="H111">
        <v>1183.67</v>
      </c>
      <c r="I111">
        <v>33.74</v>
      </c>
      <c r="J111" s="2">
        <f t="shared" si="8"/>
        <v>-4.080050557811532</v>
      </c>
      <c r="K111" s="2">
        <f t="shared" si="9"/>
        <v>-1.4124942581534299</v>
      </c>
      <c r="L111" s="2">
        <f t="shared" si="10"/>
        <v>-3.9761431411530737</v>
      </c>
      <c r="M111" s="2">
        <f t="shared" si="11"/>
        <v>-4.0774719673802196</v>
      </c>
      <c r="N111" s="2">
        <f t="shared" si="12"/>
        <v>-4.0567951318458455</v>
      </c>
      <c r="O111" s="2">
        <f t="shared" si="13"/>
        <v>-7.3962807363422201</v>
      </c>
      <c r="P111" s="2">
        <f t="shared" si="14"/>
        <v>3.751537515375162</v>
      </c>
    </row>
    <row r="112" spans="1:16" hidden="1" x14ac:dyDescent="0.35">
      <c r="A112">
        <v>2558</v>
      </c>
      <c r="B112" t="s">
        <v>11</v>
      </c>
      <c r="C112">
        <v>18107.45</v>
      </c>
      <c r="D112">
        <v>765.62</v>
      </c>
      <c r="E112">
        <v>18873.080000000002</v>
      </c>
      <c r="F112">
        <v>18373.080000000002</v>
      </c>
      <c r="G112">
        <v>18473.080000000002</v>
      </c>
      <c r="H112">
        <v>1135.3</v>
      </c>
      <c r="I112">
        <v>34.33</v>
      </c>
      <c r="J112" s="2">
        <f t="shared" si="8"/>
        <v>-7.5552921199571301</v>
      </c>
      <c r="K112" s="2">
        <f t="shared" si="9"/>
        <v>-2.9226419161372945</v>
      </c>
      <c r="L112" s="2">
        <f t="shared" si="10"/>
        <v>-7.3759324695720352</v>
      </c>
      <c r="M112" s="2">
        <f t="shared" si="11"/>
        <v>-7.5614811833366815</v>
      </c>
      <c r="N112" s="2">
        <f t="shared" si="12"/>
        <v>-7.5236283540248223</v>
      </c>
      <c r="O112" s="2">
        <f t="shared" si="13"/>
        <v>-13.466668699217976</v>
      </c>
      <c r="P112" s="2">
        <f t="shared" si="14"/>
        <v>6.7475124378109541</v>
      </c>
    </row>
    <row r="113" spans="1:16" hidden="1" x14ac:dyDescent="0.35">
      <c r="A113">
        <v>2558</v>
      </c>
      <c r="B113" t="s">
        <v>12</v>
      </c>
      <c r="C113">
        <v>18399.39</v>
      </c>
      <c r="D113">
        <v>770.61</v>
      </c>
      <c r="E113">
        <v>19170</v>
      </c>
      <c r="F113">
        <v>18670</v>
      </c>
      <c r="G113">
        <v>18770</v>
      </c>
      <c r="H113">
        <v>1118.6300000000001</v>
      </c>
      <c r="I113">
        <v>35.44</v>
      </c>
      <c r="J113" s="2">
        <f t="shared" si="8"/>
        <v>-4.560895538955748</v>
      </c>
      <c r="K113" s="2">
        <f t="shared" si="9"/>
        <v>-1.6238366971774383</v>
      </c>
      <c r="L113" s="2">
        <f t="shared" si="10"/>
        <v>-4.4462167281427583</v>
      </c>
      <c r="M113" s="2">
        <f t="shared" si="11"/>
        <v>-4.5598609549125797</v>
      </c>
      <c r="N113" s="2">
        <f t="shared" si="12"/>
        <v>-4.5366697182382296</v>
      </c>
      <c r="O113" s="2">
        <f t="shared" si="13"/>
        <v>-13.62264005250762</v>
      </c>
      <c r="P113" s="2">
        <f t="shared" si="14"/>
        <v>10.680824484697055</v>
      </c>
    </row>
    <row r="114" spans="1:16" hidden="1" x14ac:dyDescent="0.35">
      <c r="A114">
        <v>2558</v>
      </c>
      <c r="B114" t="s">
        <v>13</v>
      </c>
      <c r="C114">
        <v>18822.310000000001</v>
      </c>
      <c r="D114">
        <v>777.69</v>
      </c>
      <c r="E114">
        <v>19600</v>
      </c>
      <c r="F114">
        <v>19100</v>
      </c>
      <c r="G114">
        <v>19200</v>
      </c>
      <c r="H114">
        <v>1125.55</v>
      </c>
      <c r="I114">
        <v>36.03</v>
      </c>
      <c r="J114" s="2">
        <f t="shared" si="8"/>
        <v>1.3309767710287161</v>
      </c>
      <c r="K114" s="2">
        <f t="shared" si="9"/>
        <v>0.35745625354877575</v>
      </c>
      <c r="L114" s="2">
        <f t="shared" si="10"/>
        <v>1.2919896640826778</v>
      </c>
      <c r="M114" s="2">
        <f t="shared" si="11"/>
        <v>1.326259946949591</v>
      </c>
      <c r="N114" s="2">
        <f t="shared" si="12"/>
        <v>1.3192612137203241</v>
      </c>
      <c r="O114" s="2">
        <f t="shared" si="13"/>
        <v>-9.3650601924548056</v>
      </c>
      <c r="P114" s="2">
        <f t="shared" si="14"/>
        <v>11.894409937888199</v>
      </c>
    </row>
    <row r="115" spans="1:16" hidden="1" x14ac:dyDescent="0.35">
      <c r="A115">
        <v>2558</v>
      </c>
      <c r="B115" t="s">
        <v>14</v>
      </c>
      <c r="C115">
        <v>19183.810000000001</v>
      </c>
      <c r="D115">
        <v>781.57</v>
      </c>
      <c r="E115">
        <v>19965.38</v>
      </c>
      <c r="F115">
        <v>19465.38</v>
      </c>
      <c r="G115">
        <v>19565.38</v>
      </c>
      <c r="H115">
        <v>1157.1199999999999</v>
      </c>
      <c r="I115">
        <v>35.72</v>
      </c>
      <c r="J115" s="2">
        <f t="shared" si="8"/>
        <v>3.9066109502750237</v>
      </c>
      <c r="K115" s="2">
        <f t="shared" si="9"/>
        <v>1.2304583781263432</v>
      </c>
      <c r="L115" s="2">
        <f t="shared" si="10"/>
        <v>3.7991912499441298</v>
      </c>
      <c r="M115" s="2">
        <f t="shared" si="11"/>
        <v>3.9005861874967422</v>
      </c>
      <c r="N115" s="2">
        <f t="shared" si="12"/>
        <v>3.8798765252497986</v>
      </c>
      <c r="O115" s="2">
        <f t="shared" si="13"/>
        <v>-5.3852066264370819</v>
      </c>
      <c r="P115" s="2">
        <f t="shared" si="14"/>
        <v>9.9753694581280854</v>
      </c>
    </row>
    <row r="116" spans="1:16" hidden="1" x14ac:dyDescent="0.35">
      <c r="A116">
        <v>2558</v>
      </c>
      <c r="B116" t="s">
        <v>15</v>
      </c>
      <c r="C116">
        <v>18127.12</v>
      </c>
      <c r="D116">
        <v>766.88</v>
      </c>
      <c r="E116">
        <v>18894</v>
      </c>
      <c r="F116">
        <v>18394</v>
      </c>
      <c r="G116">
        <v>18494</v>
      </c>
      <c r="H116">
        <v>1089.79</v>
      </c>
      <c r="I116">
        <v>35.81</v>
      </c>
      <c r="J116" s="2">
        <f t="shared" si="8"/>
        <v>1.0035654964253098</v>
      </c>
      <c r="K116" s="2">
        <f t="shared" si="9"/>
        <v>0.50983630191745988</v>
      </c>
      <c r="L116" s="2">
        <f t="shared" si="10"/>
        <v>0.98343132014966272</v>
      </c>
      <c r="M116" s="2">
        <f t="shared" si="11"/>
        <v>1.0104338275672688</v>
      </c>
      <c r="N116" s="2">
        <f t="shared" si="12"/>
        <v>1.0049153468050207</v>
      </c>
      <c r="O116" s="2">
        <f t="shared" si="13"/>
        <v>-7.3292062790183508</v>
      </c>
      <c r="P116" s="2">
        <f t="shared" si="14"/>
        <v>9.143553794574828</v>
      </c>
    </row>
    <row r="117" spans="1:16" hidden="1" x14ac:dyDescent="0.35">
      <c r="A117">
        <v>2558</v>
      </c>
      <c r="B117" t="s">
        <v>16</v>
      </c>
      <c r="C117">
        <v>17917.91</v>
      </c>
      <c r="D117">
        <v>764.09</v>
      </c>
      <c r="E117">
        <v>18682</v>
      </c>
      <c r="F117">
        <v>18182</v>
      </c>
      <c r="G117">
        <v>18282</v>
      </c>
      <c r="H117">
        <v>1070.4100000000001</v>
      </c>
      <c r="I117">
        <v>36.020000000000003</v>
      </c>
      <c r="J117" s="2">
        <f t="shared" si="8"/>
        <v>-2.3109534625319839</v>
      </c>
      <c r="K117" s="2">
        <f t="shared" si="9"/>
        <v>-0.79587650281737865</v>
      </c>
      <c r="L117" s="2">
        <f t="shared" si="10"/>
        <v>-2.2498953537044741</v>
      </c>
      <c r="M117" s="2">
        <f t="shared" si="11"/>
        <v>-2.3103374167204009</v>
      </c>
      <c r="N117" s="2">
        <f t="shared" si="12"/>
        <v>-2.2979905942710559</v>
      </c>
      <c r="O117" s="2">
        <f t="shared" si="13"/>
        <v>-10.74412554408552</v>
      </c>
      <c r="P117" s="2">
        <f t="shared" si="14"/>
        <v>9.416767922235735</v>
      </c>
    </row>
    <row r="118" spans="1:16" hidden="1" x14ac:dyDescent="0.35">
      <c r="A118">
        <v>2559</v>
      </c>
      <c r="B118" t="s">
        <v>17</v>
      </c>
      <c r="C118">
        <v>18395.75</v>
      </c>
      <c r="D118">
        <v>772.25</v>
      </c>
      <c r="E118">
        <v>19168</v>
      </c>
      <c r="F118">
        <v>18668</v>
      </c>
      <c r="G118">
        <v>18768</v>
      </c>
      <c r="H118">
        <v>1096.6300000000001</v>
      </c>
      <c r="I118">
        <v>36.17</v>
      </c>
      <c r="J118" s="2">
        <f t="shared" si="8"/>
        <v>-3.3175014203522721</v>
      </c>
      <c r="K118" s="2">
        <f t="shared" si="9"/>
        <v>-1.0861629500595598</v>
      </c>
      <c r="L118" s="2">
        <f t="shared" si="10"/>
        <v>-3.2295032888741559</v>
      </c>
      <c r="M118" s="2">
        <f t="shared" si="11"/>
        <v>-3.3131358541596541</v>
      </c>
      <c r="N118" s="2">
        <f t="shared" si="12"/>
        <v>-3.2960646011967327</v>
      </c>
      <c r="O118" s="2">
        <f t="shared" si="13"/>
        <v>-12.278021309954227</v>
      </c>
      <c r="P118" s="2">
        <f t="shared" si="14"/>
        <v>10.476481368356744</v>
      </c>
    </row>
    <row r="119" spans="1:16" hidden="1" x14ac:dyDescent="0.35">
      <c r="A119">
        <v>2559</v>
      </c>
      <c r="B119" t="s">
        <v>18</v>
      </c>
      <c r="C119">
        <v>19786.96</v>
      </c>
      <c r="D119">
        <v>790.13</v>
      </c>
      <c r="E119">
        <v>20577.080000000002</v>
      </c>
      <c r="F119">
        <v>20077.080000000002</v>
      </c>
      <c r="G119">
        <v>20177.080000000002</v>
      </c>
      <c r="H119">
        <v>1194.08</v>
      </c>
      <c r="I119">
        <v>35.61</v>
      </c>
      <c r="J119" s="2">
        <f t="shared" si="8"/>
        <v>6.2116238811578057</v>
      </c>
      <c r="K119" s="2">
        <f t="shared" si="9"/>
        <v>2.3033896988372931</v>
      </c>
      <c r="L119" s="2">
        <f t="shared" si="10"/>
        <v>6.0560517222895811</v>
      </c>
      <c r="M119" s="2">
        <f t="shared" si="11"/>
        <v>6.2162471008481646</v>
      </c>
      <c r="N119" s="2">
        <f t="shared" si="12"/>
        <v>6.1835335921120134</v>
      </c>
      <c r="O119" s="2">
        <f t="shared" si="13"/>
        <v>-3.0606114728279437</v>
      </c>
      <c r="P119" s="2">
        <f t="shared" si="14"/>
        <v>9.2666462104940024</v>
      </c>
    </row>
    <row r="120" spans="1:16" hidden="1" x14ac:dyDescent="0.35">
      <c r="A120">
        <v>2559</v>
      </c>
      <c r="B120" t="s">
        <v>19</v>
      </c>
      <c r="C120">
        <v>20364.37</v>
      </c>
      <c r="D120">
        <v>800.44</v>
      </c>
      <c r="E120">
        <v>21164.81</v>
      </c>
      <c r="F120">
        <v>20664.810000000001</v>
      </c>
      <c r="G120">
        <v>20764.810000000001</v>
      </c>
      <c r="H120">
        <v>1244.03</v>
      </c>
      <c r="I120">
        <v>35.25</v>
      </c>
      <c r="J120" s="2">
        <f t="shared" si="8"/>
        <v>13.719147177734598</v>
      </c>
      <c r="K120" s="2">
        <f t="shared" si="9"/>
        <v>4.714809000523303</v>
      </c>
      <c r="L120" s="2">
        <f t="shared" si="10"/>
        <v>13.350524850042845</v>
      </c>
      <c r="M120" s="2">
        <f t="shared" si="11"/>
        <v>13.717862645828745</v>
      </c>
      <c r="N120" s="2">
        <f t="shared" si="12"/>
        <v>13.642786777583197</v>
      </c>
      <c r="O120" s="2">
        <f t="shared" si="13"/>
        <v>5.4200174565915518</v>
      </c>
      <c r="P120" s="2">
        <f t="shared" si="14"/>
        <v>7.9632465543644742</v>
      </c>
    </row>
    <row r="121" spans="1:16" hidden="1" x14ac:dyDescent="0.35">
      <c r="A121">
        <v>2559</v>
      </c>
      <c r="B121" t="s">
        <v>20</v>
      </c>
      <c r="C121">
        <v>20264.79</v>
      </c>
      <c r="D121">
        <v>798.85</v>
      </c>
      <c r="E121">
        <v>21063.64</v>
      </c>
      <c r="F121">
        <v>20563.64</v>
      </c>
      <c r="G121">
        <v>20663.64</v>
      </c>
      <c r="H121">
        <v>1244.0899999999999</v>
      </c>
      <c r="I121">
        <v>35.090000000000003</v>
      </c>
      <c r="J121" s="2">
        <f t="shared" si="8"/>
        <v>11.783535408139628</v>
      </c>
      <c r="K121" s="2">
        <f t="shared" si="9"/>
        <v>4.1729151724587723</v>
      </c>
      <c r="L121" s="2">
        <f t="shared" si="10"/>
        <v>11.474667181781854</v>
      </c>
      <c r="M121" s="2">
        <f t="shared" si="11"/>
        <v>11.786555914641923</v>
      </c>
      <c r="N121" s="2">
        <f t="shared" si="12"/>
        <v>11.722829128245053</v>
      </c>
      <c r="O121" s="2">
        <f t="shared" si="13"/>
        <v>3.6525723807540089</v>
      </c>
      <c r="P121" s="2">
        <f t="shared" si="14"/>
        <v>7.8365089121081866</v>
      </c>
    </row>
    <row r="122" spans="1:16" hidden="1" x14ac:dyDescent="0.35">
      <c r="A122">
        <v>2559</v>
      </c>
      <c r="B122" t="s">
        <v>9</v>
      </c>
      <c r="C122">
        <v>20646.71</v>
      </c>
      <c r="D122">
        <v>979.29</v>
      </c>
      <c r="E122">
        <v>21626</v>
      </c>
      <c r="F122">
        <v>21026</v>
      </c>
      <c r="G122">
        <v>21126</v>
      </c>
      <c r="H122">
        <v>1259.55</v>
      </c>
      <c r="I122">
        <v>35.479999999999997</v>
      </c>
      <c r="J122" s="2">
        <f t="shared" si="8"/>
        <v>10.526769406026034</v>
      </c>
      <c r="K122" s="2">
        <f t="shared" si="9"/>
        <v>26.541239711070048</v>
      </c>
      <c r="L122" s="2">
        <f t="shared" si="10"/>
        <v>11.163827600971942</v>
      </c>
      <c r="M122" s="2">
        <f t="shared" si="11"/>
        <v>10.930734503278174</v>
      </c>
      <c r="N122" s="2">
        <f t="shared" si="12"/>
        <v>10.873367876952926</v>
      </c>
      <c r="O122" s="2">
        <f t="shared" si="13"/>
        <v>4.980871652539193</v>
      </c>
      <c r="P122" s="2">
        <f t="shared" si="14"/>
        <v>5.6581298391899821</v>
      </c>
    </row>
    <row r="123" spans="1:16" hidden="1" x14ac:dyDescent="0.35">
      <c r="A123">
        <v>2559</v>
      </c>
      <c r="B123" t="s">
        <v>10</v>
      </c>
      <c r="C123">
        <v>20825.18</v>
      </c>
      <c r="D123">
        <v>980.59</v>
      </c>
      <c r="E123">
        <v>21805.77</v>
      </c>
      <c r="F123">
        <v>21205.77</v>
      </c>
      <c r="G123">
        <v>21305.77</v>
      </c>
      <c r="H123">
        <v>1273.8</v>
      </c>
      <c r="I123">
        <v>35.31</v>
      </c>
      <c r="J123" s="2">
        <f t="shared" si="8"/>
        <v>12.281161459723378</v>
      </c>
      <c r="K123" s="2">
        <f t="shared" si="9"/>
        <v>26.912573610302218</v>
      </c>
      <c r="L123" s="2">
        <f t="shared" si="10"/>
        <v>12.866304347826102</v>
      </c>
      <c r="M123" s="2">
        <f t="shared" si="11"/>
        <v>12.67678002125399</v>
      </c>
      <c r="N123" s="2">
        <f t="shared" si="12"/>
        <v>12.609778012684984</v>
      </c>
      <c r="O123" s="2">
        <f t="shared" si="13"/>
        <v>7.6144533527080966</v>
      </c>
      <c r="P123" s="2">
        <f t="shared" si="14"/>
        <v>4.6532305868405501</v>
      </c>
    </row>
    <row r="124" spans="1:16" hidden="1" x14ac:dyDescent="0.35">
      <c r="A124">
        <v>2559</v>
      </c>
      <c r="B124" t="s">
        <v>11</v>
      </c>
      <c r="C124">
        <v>21727.31</v>
      </c>
      <c r="D124">
        <v>998.69</v>
      </c>
      <c r="E124">
        <v>22726</v>
      </c>
      <c r="F124">
        <v>22126</v>
      </c>
      <c r="G124">
        <v>22226</v>
      </c>
      <c r="H124">
        <v>1338.29</v>
      </c>
      <c r="I124">
        <v>35.07</v>
      </c>
      <c r="J124" s="2">
        <f t="shared" si="8"/>
        <v>19.990998180307002</v>
      </c>
      <c r="K124" s="2">
        <f t="shared" si="9"/>
        <v>30.441994723230863</v>
      </c>
      <c r="L124" s="2">
        <f t="shared" si="10"/>
        <v>20.414897833316004</v>
      </c>
      <c r="M124" s="2">
        <f t="shared" si="11"/>
        <v>20.426188750062593</v>
      </c>
      <c r="N124" s="2">
        <f t="shared" si="12"/>
        <v>20.315616020717698</v>
      </c>
      <c r="O124" s="2">
        <f t="shared" si="13"/>
        <v>17.879855544789919</v>
      </c>
      <c r="P124" s="2">
        <f t="shared" si="14"/>
        <v>2.1555490824352006</v>
      </c>
    </row>
    <row r="125" spans="1:16" hidden="1" x14ac:dyDescent="0.35">
      <c r="A125">
        <v>2559</v>
      </c>
      <c r="B125" t="s">
        <v>12</v>
      </c>
      <c r="C125">
        <v>21555.19</v>
      </c>
      <c r="D125">
        <v>994.81</v>
      </c>
      <c r="E125">
        <v>22550</v>
      </c>
      <c r="F125">
        <v>21950</v>
      </c>
      <c r="G125">
        <v>22050</v>
      </c>
      <c r="H125">
        <v>1340.61</v>
      </c>
      <c r="I125">
        <v>34.74</v>
      </c>
      <c r="J125" s="2">
        <f t="shared" si="8"/>
        <v>17.151655571190133</v>
      </c>
      <c r="K125" s="2">
        <f t="shared" si="9"/>
        <v>29.093834754285552</v>
      </c>
      <c r="L125" s="2">
        <f t="shared" si="10"/>
        <v>17.631716223265514</v>
      </c>
      <c r="M125" s="2">
        <f t="shared" si="11"/>
        <v>17.568291376539904</v>
      </c>
      <c r="N125" s="2">
        <f t="shared" si="12"/>
        <v>17.474693660095909</v>
      </c>
      <c r="O125" s="2">
        <f t="shared" si="13"/>
        <v>19.843916218946362</v>
      </c>
      <c r="P125" s="2">
        <f t="shared" si="14"/>
        <v>-1.9751693002257156</v>
      </c>
    </row>
    <row r="126" spans="1:16" hidden="1" x14ac:dyDescent="0.35">
      <c r="A126">
        <v>2559</v>
      </c>
      <c r="B126" t="s">
        <v>13</v>
      </c>
      <c r="C126">
        <v>21343.53</v>
      </c>
      <c r="D126">
        <v>993.01</v>
      </c>
      <c r="E126">
        <v>22336.54</v>
      </c>
      <c r="F126">
        <v>21736.54</v>
      </c>
      <c r="G126">
        <v>21836.54</v>
      </c>
      <c r="H126">
        <v>1326.75</v>
      </c>
      <c r="I126">
        <v>34.75</v>
      </c>
      <c r="J126" s="2">
        <f t="shared" si="8"/>
        <v>13.394848985060804</v>
      </c>
      <c r="K126" s="2">
        <f t="shared" si="9"/>
        <v>27.687124689786401</v>
      </c>
      <c r="L126" s="2">
        <f t="shared" si="10"/>
        <v>13.96193877551022</v>
      </c>
      <c r="M126" s="2">
        <f t="shared" si="11"/>
        <v>13.803874345549744</v>
      </c>
      <c r="N126" s="2">
        <f t="shared" si="12"/>
        <v>13.731979166666662</v>
      </c>
      <c r="O126" s="2">
        <f t="shared" si="13"/>
        <v>17.875705210785853</v>
      </c>
      <c r="P126" s="2">
        <f t="shared" si="14"/>
        <v>-3.5525950596724982</v>
      </c>
    </row>
    <row r="127" spans="1:16" hidden="1" x14ac:dyDescent="0.35">
      <c r="A127">
        <v>2559</v>
      </c>
      <c r="B127" t="s">
        <v>14</v>
      </c>
      <c r="C127">
        <v>20623.060000000001</v>
      </c>
      <c r="D127">
        <v>976.94</v>
      </c>
      <c r="E127">
        <v>21600</v>
      </c>
      <c r="F127">
        <v>21000</v>
      </c>
      <c r="G127">
        <v>21100</v>
      </c>
      <c r="H127">
        <v>1269.48</v>
      </c>
      <c r="I127">
        <v>35.08</v>
      </c>
      <c r="J127" s="2">
        <f t="shared" si="8"/>
        <v>7.5024200093724858</v>
      </c>
      <c r="K127" s="2">
        <f t="shared" si="9"/>
        <v>24.997121179165021</v>
      </c>
      <c r="L127" s="2">
        <f t="shared" si="10"/>
        <v>8.1872721681230018</v>
      </c>
      <c r="M127" s="2">
        <f t="shared" si="11"/>
        <v>7.8838430074316506</v>
      </c>
      <c r="N127" s="2">
        <f t="shared" si="12"/>
        <v>7.8435481447331767</v>
      </c>
      <c r="O127" s="2">
        <f t="shared" si="13"/>
        <v>9.7103152654867415</v>
      </c>
      <c r="P127" s="2">
        <f t="shared" si="14"/>
        <v>-1.7917133258678604</v>
      </c>
    </row>
    <row r="128" spans="1:16" hidden="1" x14ac:dyDescent="0.35">
      <c r="A128">
        <v>2559</v>
      </c>
      <c r="B128" t="s">
        <v>15</v>
      </c>
      <c r="C128">
        <v>20289.330000000002</v>
      </c>
      <c r="D128">
        <v>972.21</v>
      </c>
      <c r="E128">
        <v>21261.54</v>
      </c>
      <c r="F128">
        <v>20661.54</v>
      </c>
      <c r="G128">
        <v>20761.54</v>
      </c>
      <c r="H128">
        <v>1241</v>
      </c>
      <c r="I128">
        <v>35.35</v>
      </c>
      <c r="J128" s="2">
        <f t="shared" si="8"/>
        <v>11.928039313470663</v>
      </c>
      <c r="K128" s="2">
        <f t="shared" si="9"/>
        <v>26.774723555184636</v>
      </c>
      <c r="L128" s="2">
        <f t="shared" si="10"/>
        <v>12.530644649094953</v>
      </c>
      <c r="M128" s="2">
        <f t="shared" si="11"/>
        <v>12.327606828313577</v>
      </c>
      <c r="N128" s="2">
        <f t="shared" si="12"/>
        <v>12.260949497134206</v>
      </c>
      <c r="O128" s="2">
        <f t="shared" si="13"/>
        <v>13.875150258306661</v>
      </c>
      <c r="P128" s="2">
        <f t="shared" si="14"/>
        <v>-1.2845573862049804</v>
      </c>
    </row>
    <row r="129" spans="1:16" hidden="1" x14ac:dyDescent="0.35">
      <c r="A129">
        <v>2559</v>
      </c>
      <c r="B129" t="s">
        <v>16</v>
      </c>
      <c r="C129">
        <v>19121</v>
      </c>
      <c r="D129">
        <v>951</v>
      </c>
      <c r="E129">
        <v>20072</v>
      </c>
      <c r="F129">
        <v>19472</v>
      </c>
      <c r="G129">
        <v>19572</v>
      </c>
      <c r="H129">
        <v>1151.76</v>
      </c>
      <c r="I129">
        <v>35.840000000000003</v>
      </c>
      <c r="J129" s="2">
        <f t="shared" si="8"/>
        <v>6.7144549782870939</v>
      </c>
      <c r="K129" s="2">
        <f t="shared" si="9"/>
        <v>24.461778062793641</v>
      </c>
      <c r="L129" s="2">
        <f t="shared" si="10"/>
        <v>7.4403168825607509</v>
      </c>
      <c r="M129" s="2">
        <f t="shared" si="11"/>
        <v>7.0949290507094958</v>
      </c>
      <c r="N129" s="2">
        <f t="shared" si="12"/>
        <v>7.0561207745323316</v>
      </c>
      <c r="O129" s="2">
        <f t="shared" si="13"/>
        <v>7.5998916303098696</v>
      </c>
      <c r="P129" s="2">
        <f t="shared" si="14"/>
        <v>-0.49972237645752671</v>
      </c>
    </row>
    <row r="130" spans="1:16" hidden="1" x14ac:dyDescent="0.35">
      <c r="A130">
        <v>2560</v>
      </c>
      <c r="B130" t="s">
        <v>17</v>
      </c>
      <c r="C130">
        <v>19597.64</v>
      </c>
      <c r="D130">
        <v>958.36</v>
      </c>
      <c r="E130">
        <v>20556</v>
      </c>
      <c r="F130">
        <v>19956</v>
      </c>
      <c r="G130">
        <v>20056</v>
      </c>
      <c r="H130">
        <v>1193.48</v>
      </c>
      <c r="I130">
        <v>35.450000000000003</v>
      </c>
      <c r="J130" s="2">
        <f t="shared" si="8"/>
        <v>6.5335199706454006</v>
      </c>
      <c r="K130" s="2">
        <f t="shared" si="9"/>
        <v>24.099708643573976</v>
      </c>
      <c r="L130" s="2">
        <f t="shared" si="10"/>
        <v>7.241235392320533</v>
      </c>
      <c r="M130" s="2">
        <f t="shared" si="11"/>
        <v>6.8995071780587125</v>
      </c>
      <c r="N130" s="2">
        <f t="shared" si="12"/>
        <v>6.8627450980392126</v>
      </c>
      <c r="O130" s="2">
        <f t="shared" si="13"/>
        <v>8.8316022724163901</v>
      </c>
      <c r="P130" s="2">
        <f t="shared" si="14"/>
        <v>-1.9905999447055507</v>
      </c>
    </row>
    <row r="131" spans="1:16" hidden="1" x14ac:dyDescent="0.35">
      <c r="A131">
        <v>2560</v>
      </c>
      <c r="B131" t="s">
        <v>18</v>
      </c>
      <c r="C131">
        <v>19998.02</v>
      </c>
      <c r="D131">
        <v>967.2</v>
      </c>
      <c r="E131">
        <v>20965.22</v>
      </c>
      <c r="F131">
        <v>20365.22</v>
      </c>
      <c r="G131">
        <v>20465.22</v>
      </c>
      <c r="H131">
        <v>1233.79</v>
      </c>
      <c r="I131">
        <v>35.020000000000003</v>
      </c>
      <c r="J131" s="2">
        <f t="shared" si="8"/>
        <v>1.0666620845243528</v>
      </c>
      <c r="K131" s="2">
        <f t="shared" si="9"/>
        <v>22.410236290230728</v>
      </c>
      <c r="L131" s="2">
        <f t="shared" si="10"/>
        <v>1.8862734654285163</v>
      </c>
      <c r="M131" s="2">
        <f t="shared" si="11"/>
        <v>1.4351688592165743</v>
      </c>
      <c r="N131" s="2">
        <f t="shared" si="12"/>
        <v>1.4280559922446656</v>
      </c>
      <c r="O131" s="2">
        <f t="shared" si="13"/>
        <v>3.3255728259413075</v>
      </c>
      <c r="P131" s="2">
        <f t="shared" si="14"/>
        <v>-1.656837966863236</v>
      </c>
    </row>
    <row r="132" spans="1:16" x14ac:dyDescent="0.35">
      <c r="A132">
        <v>2560</v>
      </c>
      <c r="B132" t="s">
        <v>19</v>
      </c>
      <c r="C132">
        <v>19894.97</v>
      </c>
      <c r="D132">
        <v>966.14</v>
      </c>
      <c r="E132">
        <v>20861.11</v>
      </c>
      <c r="F132">
        <v>20261.11</v>
      </c>
      <c r="G132">
        <v>20361.11</v>
      </c>
      <c r="H132">
        <v>1231.5</v>
      </c>
      <c r="I132">
        <v>34.909999999999997</v>
      </c>
      <c r="J132" s="2">
        <f t="shared" si="8"/>
        <v>-2.3050062437482666</v>
      </c>
      <c r="K132" s="2">
        <f t="shared" si="9"/>
        <v>20.701114387087088</v>
      </c>
      <c r="L132" s="2">
        <f t="shared" si="10"/>
        <v>-1.4349290166082369</v>
      </c>
      <c r="M132" s="2">
        <f t="shared" si="11"/>
        <v>-1.9535626023176604</v>
      </c>
      <c r="N132" s="2">
        <f t="shared" si="12"/>
        <v>-1.9441545576386261</v>
      </c>
      <c r="O132" s="2">
        <f t="shared" si="13"/>
        <v>-1.007210437047334</v>
      </c>
      <c r="P132" s="2">
        <f t="shared" si="14"/>
        <v>-0.9645390070922133</v>
      </c>
    </row>
    <row r="133" spans="1:16" hidden="1" x14ac:dyDescent="0.35">
      <c r="A133">
        <v>2560</v>
      </c>
      <c r="B133" t="s">
        <v>20</v>
      </c>
      <c r="C133">
        <v>20231.38</v>
      </c>
      <c r="D133">
        <v>971</v>
      </c>
      <c r="E133">
        <v>21202.38</v>
      </c>
      <c r="F133">
        <v>20602.38</v>
      </c>
      <c r="G133">
        <v>20702.38</v>
      </c>
      <c r="H133">
        <v>1268.95</v>
      </c>
      <c r="I133">
        <v>34.479999999999997</v>
      </c>
      <c r="J133" s="2">
        <f t="shared" si="8"/>
        <v>-0.16486724017372012</v>
      </c>
      <c r="K133" s="2">
        <f t="shared" si="9"/>
        <v>21.549727733617075</v>
      </c>
      <c r="L133" s="2">
        <f t="shared" si="10"/>
        <v>0.6586705811531175</v>
      </c>
      <c r="M133" s="2">
        <f t="shared" si="11"/>
        <v>0.18839077128369297</v>
      </c>
      <c r="N133" s="2">
        <f t="shared" si="12"/>
        <v>0.18747906951534787</v>
      </c>
      <c r="O133" s="2">
        <f t="shared" si="13"/>
        <v>1.9982477151974507</v>
      </c>
      <c r="P133" s="2">
        <f t="shared" si="14"/>
        <v>-1.7383870048446965</v>
      </c>
    </row>
    <row r="134" spans="1:16" hidden="1" x14ac:dyDescent="0.35">
      <c r="A134">
        <v>2560</v>
      </c>
      <c r="B134" t="s">
        <v>9</v>
      </c>
      <c r="C134">
        <v>19906.759999999998</v>
      </c>
      <c r="D134">
        <v>965.46</v>
      </c>
      <c r="E134">
        <v>20872.22</v>
      </c>
      <c r="F134">
        <v>20272.22</v>
      </c>
      <c r="G134">
        <v>20372.22</v>
      </c>
      <c r="H134">
        <v>1247.33</v>
      </c>
      <c r="I134">
        <v>34.479999999999997</v>
      </c>
      <c r="J134" s="2">
        <f t="shared" si="8"/>
        <v>-3.5838639667046266</v>
      </c>
      <c r="K134" s="2">
        <f t="shared" si="9"/>
        <v>-1.4122476488067832</v>
      </c>
      <c r="L134" s="2">
        <f t="shared" si="10"/>
        <v>-3.4855266808471299</v>
      </c>
      <c r="M134" s="2">
        <f t="shared" si="11"/>
        <v>-3.5849900123656369</v>
      </c>
      <c r="N134" s="2">
        <f t="shared" si="12"/>
        <v>-3.5680204487361493</v>
      </c>
      <c r="O134" s="2">
        <f t="shared" si="13"/>
        <v>-0.97018776547179186</v>
      </c>
      <c r="P134" s="2">
        <f t="shared" si="14"/>
        <v>-2.8184892897406968</v>
      </c>
    </row>
    <row r="135" spans="1:16" x14ac:dyDescent="0.35">
      <c r="A135">
        <v>2560</v>
      </c>
      <c r="B135" t="s">
        <v>10</v>
      </c>
      <c r="C135">
        <v>19888.75</v>
      </c>
      <c r="D135">
        <v>965.09</v>
      </c>
      <c r="E135">
        <v>20853.849999999999</v>
      </c>
      <c r="F135">
        <v>20253.849999999999</v>
      </c>
      <c r="G135">
        <v>20353.849999999999</v>
      </c>
      <c r="H135">
        <v>1262.3</v>
      </c>
      <c r="I135">
        <v>34.020000000000003</v>
      </c>
      <c r="J135" s="2">
        <f t="shared" si="8"/>
        <v>-4.4966237986898534</v>
      </c>
      <c r="K135" s="2">
        <f t="shared" si="9"/>
        <v>-1.580681018570445</v>
      </c>
      <c r="L135" s="2">
        <f t="shared" si="10"/>
        <v>-4.3654500620707353</v>
      </c>
      <c r="M135" s="2">
        <f t="shared" si="11"/>
        <v>-4.4889669179662093</v>
      </c>
      <c r="N135" s="2">
        <f t="shared" si="12"/>
        <v>-4.4678976634029368</v>
      </c>
      <c r="O135" s="2">
        <f t="shared" si="13"/>
        <v>-0.9028104883027197</v>
      </c>
      <c r="P135" s="2">
        <f t="shared" si="14"/>
        <v>-3.6533559898045809</v>
      </c>
    </row>
    <row r="136" spans="1:16" hidden="1" x14ac:dyDescent="0.35">
      <c r="A136">
        <v>2560</v>
      </c>
      <c r="B136" t="s">
        <v>11</v>
      </c>
      <c r="C136">
        <v>19340.080000000002</v>
      </c>
      <c r="D136">
        <v>954.15</v>
      </c>
      <c r="E136">
        <v>20294.23</v>
      </c>
      <c r="F136">
        <v>19694.23</v>
      </c>
      <c r="G136">
        <v>19794.23</v>
      </c>
      <c r="H136">
        <v>1235.3</v>
      </c>
      <c r="I136">
        <v>33.78</v>
      </c>
      <c r="J136" s="2">
        <f t="shared" si="8"/>
        <v>-10.987232197635137</v>
      </c>
      <c r="K136" s="2">
        <f t="shared" si="9"/>
        <v>-4.4598423935355385</v>
      </c>
      <c r="L136" s="2">
        <f t="shared" si="10"/>
        <v>-10.700387221684409</v>
      </c>
      <c r="M136" s="2">
        <f t="shared" si="11"/>
        <v>-10.990554099249749</v>
      </c>
      <c r="N136" s="2">
        <f t="shared" si="12"/>
        <v>-10.941105012147929</v>
      </c>
      <c r="O136" s="2">
        <f t="shared" si="13"/>
        <v>-7.6956414528988546</v>
      </c>
      <c r="P136" s="2">
        <f t="shared" si="14"/>
        <v>-3.6783575705731266</v>
      </c>
    </row>
    <row r="137" spans="1:16" hidden="1" x14ac:dyDescent="0.35">
      <c r="A137">
        <v>2560</v>
      </c>
      <c r="B137" t="s">
        <v>12</v>
      </c>
      <c r="C137">
        <v>19734.39</v>
      </c>
      <c r="D137">
        <v>961.91</v>
      </c>
      <c r="E137">
        <v>20696.3</v>
      </c>
      <c r="F137">
        <v>20096.3</v>
      </c>
      <c r="G137">
        <v>20196.3</v>
      </c>
      <c r="H137">
        <v>1282.3900000000001</v>
      </c>
      <c r="I137">
        <v>33.270000000000003</v>
      </c>
      <c r="J137" s="2">
        <f t="shared" si="8"/>
        <v>-8.4471535625526712</v>
      </c>
      <c r="K137" s="2">
        <f t="shared" si="9"/>
        <v>-3.3071641821051259</v>
      </c>
      <c r="L137" s="2">
        <f t="shared" si="10"/>
        <v>-8.2203991130820384</v>
      </c>
      <c r="M137" s="2">
        <f t="shared" si="11"/>
        <v>-8.4451025056947628</v>
      </c>
      <c r="N137" s="2">
        <f t="shared" si="12"/>
        <v>-8.4068027210884395</v>
      </c>
      <c r="O137" s="2">
        <f t="shared" si="13"/>
        <v>-4.3427991735105422</v>
      </c>
      <c r="P137" s="2">
        <f t="shared" si="14"/>
        <v>-4.2314335060449082</v>
      </c>
    </row>
    <row r="138" spans="1:16" x14ac:dyDescent="0.35">
      <c r="A138">
        <v>2560</v>
      </c>
      <c r="B138" t="s">
        <v>13</v>
      </c>
      <c r="C138">
        <v>20200.7</v>
      </c>
      <c r="D138">
        <v>968.53</v>
      </c>
      <c r="E138">
        <v>21169.23</v>
      </c>
      <c r="F138">
        <v>20569.23</v>
      </c>
      <c r="G138">
        <v>20669.23</v>
      </c>
      <c r="H138">
        <v>1316.97</v>
      </c>
      <c r="I138">
        <v>33.159999999999997</v>
      </c>
      <c r="J138" s="2">
        <f t="shared" si="8"/>
        <v>-5.3544563621856298</v>
      </c>
      <c r="K138" s="2">
        <f t="shared" si="9"/>
        <v>-2.4652319714806481</v>
      </c>
      <c r="L138" s="2">
        <f t="shared" si="10"/>
        <v>-5.2260108324745005</v>
      </c>
      <c r="M138" s="2">
        <f t="shared" si="11"/>
        <v>-5.3702659208871353</v>
      </c>
      <c r="N138" s="2">
        <f t="shared" si="12"/>
        <v>-5.3456728950648795</v>
      </c>
      <c r="O138" s="2">
        <f t="shared" si="13"/>
        <v>-0.73713962690786161</v>
      </c>
      <c r="P138" s="2">
        <f t="shared" si="14"/>
        <v>-4.5755395683453344</v>
      </c>
    </row>
    <row r="139" spans="1:16" hidden="1" x14ac:dyDescent="0.35">
      <c r="A139">
        <v>2560</v>
      </c>
      <c r="B139" t="s">
        <v>14</v>
      </c>
      <c r="C139">
        <v>19731.91</v>
      </c>
      <c r="D139">
        <v>960.4</v>
      </c>
      <c r="E139">
        <v>20692.310000000001</v>
      </c>
      <c r="F139">
        <v>20092.310000000001</v>
      </c>
      <c r="G139">
        <v>20192.310000000001</v>
      </c>
      <c r="H139">
        <v>1281.3900000000001</v>
      </c>
      <c r="I139">
        <v>33.270000000000003</v>
      </c>
      <c r="J139" s="2">
        <f t="shared" si="8"/>
        <v>-4.3211337211839691</v>
      </c>
      <c r="K139" s="2">
        <f t="shared" si="9"/>
        <v>-1.6930415378631238</v>
      </c>
      <c r="L139" s="2">
        <f t="shared" si="10"/>
        <v>-4.2022685185185082</v>
      </c>
      <c r="M139" s="2">
        <f t="shared" si="11"/>
        <v>-4.3223333333333329</v>
      </c>
      <c r="N139" s="2">
        <f t="shared" si="12"/>
        <v>-4.3018483412322155</v>
      </c>
      <c r="O139" s="2">
        <f t="shared" si="13"/>
        <v>0.9381794120427287</v>
      </c>
      <c r="P139" s="2">
        <f t="shared" si="14"/>
        <v>-5.1596351197263175</v>
      </c>
    </row>
    <row r="140" spans="1:16" hidden="1" x14ac:dyDescent="0.35">
      <c r="A140">
        <v>2560</v>
      </c>
      <c r="B140" t="s">
        <v>15</v>
      </c>
      <c r="C140">
        <v>19565.150000000001</v>
      </c>
      <c r="D140">
        <v>957.93</v>
      </c>
      <c r="E140">
        <v>20523.080000000002</v>
      </c>
      <c r="F140">
        <v>19923.080000000002</v>
      </c>
      <c r="G140">
        <v>20023.080000000002</v>
      </c>
      <c r="H140">
        <v>1282.8599999999999</v>
      </c>
      <c r="I140">
        <v>32.94</v>
      </c>
      <c r="J140" s="2">
        <f t="shared" si="8"/>
        <v>-3.5692652246279266</v>
      </c>
      <c r="K140" s="2">
        <f t="shared" si="9"/>
        <v>-1.4688184651464269</v>
      </c>
      <c r="L140" s="2">
        <f t="shared" si="10"/>
        <v>-3.4732197197380685</v>
      </c>
      <c r="M140" s="2">
        <f t="shared" si="11"/>
        <v>-3.574080150850321</v>
      </c>
      <c r="N140" s="2">
        <f t="shared" si="12"/>
        <v>-3.5568652421737426</v>
      </c>
      <c r="O140" s="2">
        <f t="shared" si="13"/>
        <v>3.3730862207896735</v>
      </c>
      <c r="P140" s="2">
        <f t="shared" si="14"/>
        <v>-6.8175388967468393</v>
      </c>
    </row>
    <row r="141" spans="1:16" x14ac:dyDescent="0.35">
      <c r="A141">
        <v>2560</v>
      </c>
      <c r="B141" t="s">
        <v>16</v>
      </c>
      <c r="C141">
        <v>19184.400000000001</v>
      </c>
      <c r="D141">
        <v>952.14</v>
      </c>
      <c r="E141">
        <v>20136.54</v>
      </c>
      <c r="F141">
        <v>19536.54</v>
      </c>
      <c r="G141">
        <v>19636.54</v>
      </c>
      <c r="H141">
        <v>1266.55</v>
      </c>
      <c r="I141">
        <v>32.700000000000003</v>
      </c>
      <c r="J141" s="2">
        <f t="shared" si="8"/>
        <v>0.33157261649496661</v>
      </c>
      <c r="K141" s="2">
        <f t="shared" si="9"/>
        <v>0.11987381703468714</v>
      </c>
      <c r="L141" s="2">
        <f t="shared" si="10"/>
        <v>0.3215424471901116</v>
      </c>
      <c r="M141" s="2">
        <f t="shared" si="11"/>
        <v>0.3314502875924461</v>
      </c>
      <c r="N141" s="2">
        <f t="shared" si="12"/>
        <v>0.32975679542204261</v>
      </c>
      <c r="O141" s="2">
        <f t="shared" si="13"/>
        <v>9.9664860734875305</v>
      </c>
      <c r="P141" s="2">
        <f t="shared" si="14"/>
        <v>-8.7611607142857082</v>
      </c>
    </row>
    <row r="142" spans="1:16" hidden="1" x14ac:dyDescent="0.35">
      <c r="A142">
        <v>2561</v>
      </c>
      <c r="B142" t="s">
        <v>17</v>
      </c>
      <c r="C142">
        <v>19674.310000000001</v>
      </c>
      <c r="D142">
        <v>959.02</v>
      </c>
      <c r="E142">
        <v>20633.330000000002</v>
      </c>
      <c r="F142">
        <v>20033.330000000002</v>
      </c>
      <c r="G142">
        <v>20133.330000000002</v>
      </c>
      <c r="H142">
        <v>1331.27</v>
      </c>
      <c r="I142">
        <v>31.9</v>
      </c>
      <c r="J142" s="2">
        <f t="shared" ref="J142:J205" si="15">C142/C130*100-100</f>
        <v>0.39122057553868217</v>
      </c>
      <c r="K142" s="2">
        <f t="shared" ref="K142:K205" si="16">D142/D130*100-100</f>
        <v>6.8867648900194922E-2</v>
      </c>
      <c r="L142" s="2">
        <f t="shared" ref="L142:L205" si="17">E142/E130*100-100</f>
        <v>0.37619186612181466</v>
      </c>
      <c r="M142" s="2">
        <f t="shared" ref="M142:M205" si="18">F142/F130*100-100</f>
        <v>0.38750250551214549</v>
      </c>
      <c r="N142" s="2">
        <f t="shared" ref="N142:N205" si="19">G142/G130*100-100</f>
        <v>0.38557040287197708</v>
      </c>
      <c r="O142" s="2">
        <f t="shared" ref="O142:O205" si="20">H142/H130*100-100</f>
        <v>11.545229077990399</v>
      </c>
      <c r="P142" s="2">
        <f t="shared" ref="P142:P205" si="21">I142/I130*100-100</f>
        <v>-10.014104372355433</v>
      </c>
    </row>
    <row r="143" spans="1:16" hidden="1" x14ac:dyDescent="0.35">
      <c r="A143">
        <v>2561</v>
      </c>
      <c r="B143" t="s">
        <v>18</v>
      </c>
      <c r="C143">
        <v>19455.330000000002</v>
      </c>
      <c r="D143">
        <v>957.17</v>
      </c>
      <c r="E143">
        <v>20412.5</v>
      </c>
      <c r="F143">
        <v>19812.5</v>
      </c>
      <c r="G143">
        <v>19912.5</v>
      </c>
      <c r="H143">
        <v>1335.04</v>
      </c>
      <c r="I143">
        <v>31.48</v>
      </c>
      <c r="J143" s="2">
        <f t="shared" si="15"/>
        <v>-2.713718658147144</v>
      </c>
      <c r="K143" s="2">
        <f t="shared" si="16"/>
        <v>-1.0370140612076142</v>
      </c>
      <c r="L143" s="2">
        <f t="shared" si="17"/>
        <v>-2.6363663247988853</v>
      </c>
      <c r="M143" s="2">
        <f t="shared" si="18"/>
        <v>-2.7140389350078209</v>
      </c>
      <c r="N143" s="2">
        <f t="shared" si="19"/>
        <v>-2.7007772210609176</v>
      </c>
      <c r="O143" s="2">
        <f t="shared" si="20"/>
        <v>8.2064208657875355</v>
      </c>
      <c r="P143" s="2">
        <f t="shared" si="21"/>
        <v>-10.10850942318676</v>
      </c>
    </row>
    <row r="144" spans="1:16" x14ac:dyDescent="0.35">
      <c r="A144">
        <v>2561</v>
      </c>
      <c r="B144" t="s">
        <v>19</v>
      </c>
      <c r="C144">
        <v>19217.830000000002</v>
      </c>
      <c r="D144">
        <v>952.54</v>
      </c>
      <c r="E144">
        <v>20170.37</v>
      </c>
      <c r="F144">
        <v>19570.37</v>
      </c>
      <c r="G144">
        <v>19670.37</v>
      </c>
      <c r="H144">
        <v>1326.45</v>
      </c>
      <c r="I144">
        <v>31.28</v>
      </c>
      <c r="J144" s="2">
        <f t="shared" si="15"/>
        <v>-3.4035738681686922</v>
      </c>
      <c r="K144" s="2">
        <f t="shared" si="16"/>
        <v>-1.4076634856232033</v>
      </c>
      <c r="L144" s="2">
        <f t="shared" si="17"/>
        <v>-3.3111373268248911</v>
      </c>
      <c r="M144" s="2">
        <f t="shared" si="18"/>
        <v>-3.4091913029444072</v>
      </c>
      <c r="N144" s="2">
        <f t="shared" si="19"/>
        <v>-3.3924476612522625</v>
      </c>
      <c r="O144" s="2">
        <f t="shared" si="20"/>
        <v>7.710109622411693</v>
      </c>
      <c r="P144" s="2">
        <f t="shared" si="21"/>
        <v>-10.398166714408461</v>
      </c>
    </row>
    <row r="145" spans="1:16" hidden="1" x14ac:dyDescent="0.35">
      <c r="A145">
        <v>2561</v>
      </c>
      <c r="B145" t="s">
        <v>20</v>
      </c>
      <c r="C145">
        <v>19353.259999999998</v>
      </c>
      <c r="D145">
        <v>954.74</v>
      </c>
      <c r="E145">
        <v>20308</v>
      </c>
      <c r="F145">
        <v>19708</v>
      </c>
      <c r="G145">
        <v>19808</v>
      </c>
      <c r="H145">
        <v>1334.96</v>
      </c>
      <c r="I145">
        <v>31.33</v>
      </c>
      <c r="J145" s="2">
        <f t="shared" si="15"/>
        <v>-4.3403860735155178</v>
      </c>
      <c r="K145" s="2">
        <f t="shared" si="16"/>
        <v>-1.6745623069000999</v>
      </c>
      <c r="L145" s="2">
        <f t="shared" si="17"/>
        <v>-4.2183000210353754</v>
      </c>
      <c r="M145" s="2">
        <f t="shared" si="18"/>
        <v>-4.3411489352201045</v>
      </c>
      <c r="N145" s="2">
        <f t="shared" si="19"/>
        <v>-4.3201796121991833</v>
      </c>
      <c r="O145" s="2">
        <f t="shared" si="20"/>
        <v>5.2019386106623529</v>
      </c>
      <c r="P145" s="2">
        <f t="shared" si="21"/>
        <v>-9.1357308584686763</v>
      </c>
    </row>
    <row r="146" spans="1:16" hidden="1" x14ac:dyDescent="0.35">
      <c r="A146">
        <v>2561</v>
      </c>
      <c r="B146" t="s">
        <v>9</v>
      </c>
      <c r="C146">
        <v>19308.23</v>
      </c>
      <c r="D146">
        <v>952.89</v>
      </c>
      <c r="E146">
        <v>20261.11</v>
      </c>
      <c r="F146">
        <v>19661.11</v>
      </c>
      <c r="G146">
        <v>19761.11</v>
      </c>
      <c r="H146">
        <v>1304.8</v>
      </c>
      <c r="I146">
        <v>31.98</v>
      </c>
      <c r="J146" s="2">
        <f t="shared" si="15"/>
        <v>-3.0066670819359729</v>
      </c>
      <c r="K146" s="2">
        <f t="shared" si="16"/>
        <v>-1.3019700453669856</v>
      </c>
      <c r="L146" s="2">
        <f t="shared" si="17"/>
        <v>-2.9278629680982675</v>
      </c>
      <c r="M146" s="2">
        <f t="shared" si="18"/>
        <v>-3.0145193767628768</v>
      </c>
      <c r="N146" s="2">
        <f t="shared" si="19"/>
        <v>-2.9997221706814514</v>
      </c>
      <c r="O146" s="2">
        <f t="shared" si="20"/>
        <v>4.6074414950333988</v>
      </c>
      <c r="P146" s="2">
        <f t="shared" si="21"/>
        <v>-7.250580046403698</v>
      </c>
    </row>
    <row r="147" spans="1:16" x14ac:dyDescent="0.35">
      <c r="A147">
        <v>2561</v>
      </c>
      <c r="B147" t="s">
        <v>10</v>
      </c>
      <c r="C147">
        <v>19282.939999999999</v>
      </c>
      <c r="D147">
        <v>953.6</v>
      </c>
      <c r="E147">
        <v>20236.54</v>
      </c>
      <c r="F147">
        <v>19636.54</v>
      </c>
      <c r="G147">
        <v>19736.54</v>
      </c>
      <c r="H147">
        <v>1282.74</v>
      </c>
      <c r="I147">
        <v>32.49</v>
      </c>
      <c r="J147" s="2">
        <f t="shared" si="15"/>
        <v>-3.0459933379423063</v>
      </c>
      <c r="K147" s="2">
        <f t="shared" si="16"/>
        <v>-1.1905625382088658</v>
      </c>
      <c r="L147" s="2">
        <f t="shared" si="17"/>
        <v>-2.9601728218050738</v>
      </c>
      <c r="M147" s="2">
        <f t="shared" si="18"/>
        <v>-3.0478649738197845</v>
      </c>
      <c r="N147" s="2">
        <f t="shared" si="19"/>
        <v>-3.0328905833540034</v>
      </c>
      <c r="O147" s="2">
        <f t="shared" si="20"/>
        <v>1.6192664184425212</v>
      </c>
      <c r="P147" s="2">
        <f t="shared" si="21"/>
        <v>-4.4973544973544932</v>
      </c>
    </row>
    <row r="148" spans="1:16" hidden="1" x14ac:dyDescent="0.35">
      <c r="A148">
        <v>2561</v>
      </c>
      <c r="B148" t="s">
        <v>11</v>
      </c>
      <c r="C148">
        <v>19108.599999999999</v>
      </c>
      <c r="D148">
        <v>951.02</v>
      </c>
      <c r="E148">
        <v>20059.62</v>
      </c>
      <c r="F148">
        <v>19459.62</v>
      </c>
      <c r="G148">
        <v>19559.62</v>
      </c>
      <c r="H148">
        <v>1238.9100000000001</v>
      </c>
      <c r="I148">
        <v>33.29</v>
      </c>
      <c r="J148" s="2">
        <f t="shared" si="15"/>
        <v>-1.1968926705577303</v>
      </c>
      <c r="K148" s="2">
        <f t="shared" si="16"/>
        <v>-0.3280406644657603</v>
      </c>
      <c r="L148" s="2">
        <f t="shared" si="17"/>
        <v>-1.1560428752408995</v>
      </c>
      <c r="M148" s="2">
        <f t="shared" si="18"/>
        <v>-1.1912626185436039</v>
      </c>
      <c r="N148" s="2">
        <f t="shared" si="19"/>
        <v>-1.1852443868743592</v>
      </c>
      <c r="O148" s="2">
        <f t="shared" si="20"/>
        <v>0.29223670363475662</v>
      </c>
      <c r="P148" s="2">
        <f t="shared" si="21"/>
        <v>-1.4505624629958618</v>
      </c>
    </row>
    <row r="149" spans="1:16" hidden="1" x14ac:dyDescent="0.35">
      <c r="A149">
        <v>2561</v>
      </c>
      <c r="B149" t="s">
        <v>12</v>
      </c>
      <c r="C149">
        <v>18432.88</v>
      </c>
      <c r="D149">
        <v>937.49</v>
      </c>
      <c r="E149">
        <v>19370.37</v>
      </c>
      <c r="F149">
        <v>18770.37</v>
      </c>
      <c r="G149">
        <v>18870.37</v>
      </c>
      <c r="H149">
        <v>1201.83</v>
      </c>
      <c r="I149">
        <v>33.049999999999997</v>
      </c>
      <c r="J149" s="2">
        <f t="shared" si="15"/>
        <v>-6.5951367131185634</v>
      </c>
      <c r="K149" s="2">
        <f t="shared" si="16"/>
        <v>-2.5386990466883503</v>
      </c>
      <c r="L149" s="2">
        <f t="shared" si="17"/>
        <v>-6.4066040789899574</v>
      </c>
      <c r="M149" s="2">
        <f t="shared" si="18"/>
        <v>-6.5978812020123172</v>
      </c>
      <c r="N149" s="2">
        <f t="shared" si="19"/>
        <v>-6.5652124399023535</v>
      </c>
      <c r="O149" s="2">
        <f t="shared" si="20"/>
        <v>-6.2820202902393305</v>
      </c>
      <c r="P149" s="2">
        <f t="shared" si="21"/>
        <v>-0.66125638713558033</v>
      </c>
    </row>
    <row r="150" spans="1:16" x14ac:dyDescent="0.35">
      <c r="A150">
        <v>2561</v>
      </c>
      <c r="B150" t="s">
        <v>13</v>
      </c>
      <c r="C150">
        <v>18122.259999999998</v>
      </c>
      <c r="D150">
        <v>931.74</v>
      </c>
      <c r="E150">
        <v>19054</v>
      </c>
      <c r="F150">
        <v>18454</v>
      </c>
      <c r="G150">
        <v>18554</v>
      </c>
      <c r="H150">
        <v>1198.73</v>
      </c>
      <c r="I150">
        <v>32.64</v>
      </c>
      <c r="J150" s="2">
        <f t="shared" si="15"/>
        <v>-10.28895038290753</v>
      </c>
      <c r="K150" s="2">
        <f t="shared" si="16"/>
        <v>-3.7985400555480879</v>
      </c>
      <c r="L150" s="2">
        <f t="shared" si="17"/>
        <v>-9.9920025433140438</v>
      </c>
      <c r="M150" s="2">
        <f t="shared" si="18"/>
        <v>-10.283467101101991</v>
      </c>
      <c r="N150" s="2">
        <f t="shared" si="19"/>
        <v>-10.233714560242447</v>
      </c>
      <c r="O150" s="2">
        <f t="shared" si="20"/>
        <v>-8.9781847726220008</v>
      </c>
      <c r="P150" s="2">
        <f t="shared" si="21"/>
        <v>-1.5681544028950327</v>
      </c>
    </row>
    <row r="151" spans="1:16" hidden="1" x14ac:dyDescent="0.35">
      <c r="A151">
        <v>2561</v>
      </c>
      <c r="B151" t="s">
        <v>14</v>
      </c>
      <c r="C151">
        <v>18454.77</v>
      </c>
      <c r="D151">
        <v>937.82</v>
      </c>
      <c r="E151">
        <v>19392.59</v>
      </c>
      <c r="F151">
        <v>18792.59</v>
      </c>
      <c r="G151">
        <v>18892.59</v>
      </c>
      <c r="H151">
        <v>1215.6300000000001</v>
      </c>
      <c r="I151">
        <v>32.79</v>
      </c>
      <c r="J151" s="2">
        <f t="shared" si="15"/>
        <v>-6.4724600912937404</v>
      </c>
      <c r="K151" s="2">
        <f t="shared" si="16"/>
        <v>-2.3511037067888196</v>
      </c>
      <c r="L151" s="2">
        <f t="shared" si="17"/>
        <v>-6.2811740206869189</v>
      </c>
      <c r="M151" s="2">
        <f t="shared" si="18"/>
        <v>-6.4687435143097076</v>
      </c>
      <c r="N151" s="2">
        <f t="shared" si="19"/>
        <v>-6.4367078358048246</v>
      </c>
      <c r="O151" s="2">
        <f t="shared" si="20"/>
        <v>-5.1319270479713452</v>
      </c>
      <c r="P151" s="2">
        <f t="shared" si="21"/>
        <v>-1.4427412082957716</v>
      </c>
    </row>
    <row r="152" spans="1:16" hidden="1" x14ac:dyDescent="0.35">
      <c r="A152">
        <v>2561</v>
      </c>
      <c r="B152" t="s">
        <v>15</v>
      </c>
      <c r="C152">
        <v>18644.47</v>
      </c>
      <c r="D152">
        <v>942.07</v>
      </c>
      <c r="E152">
        <v>19586.54</v>
      </c>
      <c r="F152">
        <v>18986.54</v>
      </c>
      <c r="G152">
        <v>19086.54</v>
      </c>
      <c r="H152">
        <v>1221.3900000000001</v>
      </c>
      <c r="I152">
        <v>32.979999999999997</v>
      </c>
      <c r="J152" s="2">
        <f t="shared" si="15"/>
        <v>-4.7057139863481865</v>
      </c>
      <c r="K152" s="2">
        <f t="shared" si="16"/>
        <v>-1.6556533358387213</v>
      </c>
      <c r="L152" s="2">
        <f t="shared" si="17"/>
        <v>-4.5633501404272749</v>
      </c>
      <c r="M152" s="2">
        <f t="shared" si="18"/>
        <v>-4.7007791967908616</v>
      </c>
      <c r="N152" s="2">
        <f t="shared" si="19"/>
        <v>-4.6773023930384454</v>
      </c>
      <c r="O152" s="2">
        <f t="shared" si="20"/>
        <v>-4.7916374351059261</v>
      </c>
      <c r="P152" s="2">
        <f t="shared" si="21"/>
        <v>0.12143290831814113</v>
      </c>
    </row>
    <row r="153" spans="1:16" x14ac:dyDescent="0.35">
      <c r="A153">
        <v>2561</v>
      </c>
      <c r="B153" t="s">
        <v>16</v>
      </c>
      <c r="C153">
        <v>18947.080000000002</v>
      </c>
      <c r="D153">
        <v>947.15</v>
      </c>
      <c r="E153">
        <v>19894.23</v>
      </c>
      <c r="F153">
        <v>19294.23</v>
      </c>
      <c r="G153">
        <v>19394.23</v>
      </c>
      <c r="H153">
        <v>1251.81</v>
      </c>
      <c r="I153">
        <v>32.72</v>
      </c>
      <c r="J153" s="2">
        <f t="shared" si="15"/>
        <v>-1.2370467671649834</v>
      </c>
      <c r="K153" s="2">
        <f t="shared" si="16"/>
        <v>-0.52408259289600778</v>
      </c>
      <c r="L153" s="2">
        <f t="shared" si="17"/>
        <v>-1.2033348330944733</v>
      </c>
      <c r="M153" s="2">
        <f t="shared" si="18"/>
        <v>-1.240291269590216</v>
      </c>
      <c r="N153" s="2">
        <f t="shared" si="19"/>
        <v>-1.2339750281872455</v>
      </c>
      <c r="O153" s="2">
        <f t="shared" si="20"/>
        <v>-1.1637914018396458</v>
      </c>
      <c r="P153" s="2">
        <f t="shared" si="21"/>
        <v>6.1162079510694412E-2</v>
      </c>
    </row>
    <row r="154" spans="1:16" hidden="1" x14ac:dyDescent="0.35">
      <c r="A154">
        <v>2562</v>
      </c>
      <c r="B154" t="s">
        <v>17</v>
      </c>
      <c r="C154">
        <v>19035.91</v>
      </c>
      <c r="D154">
        <v>949.28</v>
      </c>
      <c r="E154">
        <v>19985.189999999999</v>
      </c>
      <c r="F154">
        <v>19385.189999999999</v>
      </c>
      <c r="G154">
        <v>19485.189999999999</v>
      </c>
      <c r="H154">
        <v>1291.67</v>
      </c>
      <c r="I154">
        <v>31.82</v>
      </c>
      <c r="J154" s="2">
        <f t="shared" si="15"/>
        <v>-3.2448406068624536</v>
      </c>
      <c r="K154" s="2">
        <f t="shared" si="16"/>
        <v>-1.0156201121978654</v>
      </c>
      <c r="L154" s="2">
        <f t="shared" si="17"/>
        <v>-3.1412282942210652</v>
      </c>
      <c r="M154" s="2">
        <f t="shared" si="18"/>
        <v>-3.2353083586203724</v>
      </c>
      <c r="N154" s="2">
        <f t="shared" si="19"/>
        <v>-3.2192389435826243</v>
      </c>
      <c r="O154" s="2">
        <f t="shared" si="20"/>
        <v>-2.9746031984496</v>
      </c>
      <c r="P154" s="2">
        <f t="shared" si="21"/>
        <v>-0.25078369905955356</v>
      </c>
    </row>
    <row r="155" spans="1:16" hidden="1" x14ac:dyDescent="0.35">
      <c r="A155">
        <v>2562</v>
      </c>
      <c r="B155" t="s">
        <v>18</v>
      </c>
      <c r="C155">
        <v>19130.66</v>
      </c>
      <c r="D155">
        <v>948.51</v>
      </c>
      <c r="E155">
        <v>20079.169999999998</v>
      </c>
      <c r="F155">
        <v>19479.169999999998</v>
      </c>
      <c r="G155">
        <v>19579.169999999998</v>
      </c>
      <c r="H155">
        <v>1319.9</v>
      </c>
      <c r="I155">
        <v>31.32</v>
      </c>
      <c r="J155" s="2">
        <f t="shared" si="15"/>
        <v>-1.6687971882255397</v>
      </c>
      <c r="K155" s="2">
        <f t="shared" si="16"/>
        <v>-0.90475046230031353</v>
      </c>
      <c r="L155" s="2">
        <f t="shared" si="17"/>
        <v>-1.6329699938763156</v>
      </c>
      <c r="M155" s="2">
        <f t="shared" si="18"/>
        <v>-1.6824227129337572</v>
      </c>
      <c r="N155" s="2">
        <f t="shared" si="19"/>
        <v>-1.6739736346516025</v>
      </c>
      <c r="O155" s="2">
        <f t="shared" si="20"/>
        <v>-1.1340484180249177</v>
      </c>
      <c r="P155" s="2">
        <f t="shared" si="21"/>
        <v>-0.5082592121982259</v>
      </c>
    </row>
    <row r="156" spans="1:16" x14ac:dyDescent="0.35">
      <c r="A156">
        <v>2562</v>
      </c>
      <c r="B156" t="s">
        <v>19</v>
      </c>
      <c r="C156">
        <v>19127.259999999998</v>
      </c>
      <c r="D156">
        <v>949.67</v>
      </c>
      <c r="E156">
        <v>20076.919999999998</v>
      </c>
      <c r="F156">
        <v>19476.919999999998</v>
      </c>
      <c r="G156">
        <v>19576.919999999998</v>
      </c>
      <c r="H156">
        <v>1302.3599999999999</v>
      </c>
      <c r="I156">
        <v>31.74</v>
      </c>
      <c r="J156" s="2">
        <f t="shared" si="15"/>
        <v>-0.47128109677316843</v>
      </c>
      <c r="K156" s="2">
        <f t="shared" si="16"/>
        <v>-0.30129968295294418</v>
      </c>
      <c r="L156" s="2">
        <f t="shared" si="17"/>
        <v>-0.4633033504095323</v>
      </c>
      <c r="M156" s="2">
        <f t="shared" si="18"/>
        <v>-0.47750757905957641</v>
      </c>
      <c r="N156" s="2">
        <f t="shared" si="19"/>
        <v>-0.47508003153983225</v>
      </c>
      <c r="O156" s="2">
        <f t="shared" si="20"/>
        <v>-1.8161257491801592</v>
      </c>
      <c r="P156" s="2">
        <f t="shared" si="21"/>
        <v>1.470588235294116</v>
      </c>
    </row>
    <row r="157" spans="1:16" hidden="1" x14ac:dyDescent="0.35">
      <c r="A157">
        <v>2562</v>
      </c>
      <c r="B157" t="s">
        <v>20</v>
      </c>
      <c r="C157">
        <v>18992.560000000001</v>
      </c>
      <c r="D157">
        <v>949.74</v>
      </c>
      <c r="E157">
        <v>19942.310000000001</v>
      </c>
      <c r="F157">
        <v>19342.310000000001</v>
      </c>
      <c r="G157">
        <v>19442.310000000001</v>
      </c>
      <c r="H157">
        <v>1286.75</v>
      </c>
      <c r="I157">
        <v>31.88</v>
      </c>
      <c r="J157" s="2">
        <f t="shared" si="15"/>
        <v>-1.8637686880659743</v>
      </c>
      <c r="K157" s="2">
        <f t="shared" si="16"/>
        <v>-0.52370278819364557</v>
      </c>
      <c r="L157" s="2">
        <f t="shared" si="17"/>
        <v>-1.8007189285010838</v>
      </c>
      <c r="M157" s="2">
        <f t="shared" si="18"/>
        <v>-1.8555408970976117</v>
      </c>
      <c r="N157" s="2">
        <f t="shared" si="19"/>
        <v>-1.8461732633279411</v>
      </c>
      <c r="O157" s="2">
        <f t="shared" si="20"/>
        <v>-3.611344160124645</v>
      </c>
      <c r="P157" s="2">
        <f t="shared" si="21"/>
        <v>1.755505904883492</v>
      </c>
    </row>
    <row r="158" spans="1:16" hidden="1" x14ac:dyDescent="0.35">
      <c r="A158">
        <v>2562</v>
      </c>
      <c r="B158" t="s">
        <v>9</v>
      </c>
      <c r="C158">
        <v>18901.71</v>
      </c>
      <c r="D158">
        <v>946.44</v>
      </c>
      <c r="E158">
        <v>19848.150000000001</v>
      </c>
      <c r="F158">
        <v>19248.150000000001</v>
      </c>
      <c r="G158">
        <v>19348.150000000001</v>
      </c>
      <c r="H158">
        <v>1283.6099999999999</v>
      </c>
      <c r="I158">
        <v>31.81</v>
      </c>
      <c r="J158" s="2">
        <f t="shared" si="15"/>
        <v>-2.1054234386062376</v>
      </c>
      <c r="K158" s="2">
        <f t="shared" si="16"/>
        <v>-0.67688820325535914</v>
      </c>
      <c r="L158" s="2">
        <f t="shared" si="17"/>
        <v>-2.0381904051653663</v>
      </c>
      <c r="M158" s="2">
        <f t="shared" si="18"/>
        <v>-2.1003900593608336</v>
      </c>
      <c r="N158" s="2">
        <f t="shared" si="19"/>
        <v>-2.0897611520810244</v>
      </c>
      <c r="O158" s="2">
        <f t="shared" si="20"/>
        <v>-1.6240036787247192</v>
      </c>
      <c r="P158" s="2">
        <f t="shared" si="21"/>
        <v>-0.53158223889931833</v>
      </c>
    </row>
    <row r="159" spans="1:16" x14ac:dyDescent="0.35">
      <c r="A159">
        <v>2562</v>
      </c>
      <c r="B159" t="s">
        <v>10</v>
      </c>
      <c r="C159">
        <v>19549.12</v>
      </c>
      <c r="D159">
        <v>958.88</v>
      </c>
      <c r="E159">
        <v>20508</v>
      </c>
      <c r="F159">
        <v>19908</v>
      </c>
      <c r="G159">
        <v>20008</v>
      </c>
      <c r="H159">
        <v>1358.83</v>
      </c>
      <c r="I159">
        <v>31.12</v>
      </c>
      <c r="J159" s="2">
        <f t="shared" si="15"/>
        <v>1.3803911644178868</v>
      </c>
      <c r="K159" s="2">
        <f t="shared" si="16"/>
        <v>0.55369127516777894</v>
      </c>
      <c r="L159" s="2">
        <f t="shared" si="17"/>
        <v>1.3414348500287048</v>
      </c>
      <c r="M159" s="2">
        <f t="shared" si="18"/>
        <v>1.3824227689806889</v>
      </c>
      <c r="N159" s="2">
        <f t="shared" si="19"/>
        <v>1.3754183864040925</v>
      </c>
      <c r="O159" s="2">
        <f t="shared" si="20"/>
        <v>5.9318334190872548</v>
      </c>
      <c r="P159" s="2">
        <f t="shared" si="21"/>
        <v>-4.216682056017234</v>
      </c>
    </row>
    <row r="160" spans="1:16" hidden="1" x14ac:dyDescent="0.35">
      <c r="A160">
        <v>2562</v>
      </c>
      <c r="B160" t="s">
        <v>11</v>
      </c>
      <c r="C160">
        <v>20161.12</v>
      </c>
      <c r="D160">
        <v>968.51</v>
      </c>
      <c r="E160">
        <v>21129.63</v>
      </c>
      <c r="F160">
        <v>20529.63</v>
      </c>
      <c r="G160">
        <v>20629.63</v>
      </c>
      <c r="H160">
        <v>1414.87</v>
      </c>
      <c r="I160">
        <v>30.81</v>
      </c>
      <c r="J160" s="2">
        <f t="shared" si="15"/>
        <v>5.5080958311964281</v>
      </c>
      <c r="K160" s="2">
        <f t="shared" si="16"/>
        <v>1.8390780425227717</v>
      </c>
      <c r="L160" s="2">
        <f t="shared" si="17"/>
        <v>5.3341489021227773</v>
      </c>
      <c r="M160" s="2">
        <f t="shared" si="18"/>
        <v>5.4986171364086402</v>
      </c>
      <c r="N160" s="2">
        <f t="shared" si="19"/>
        <v>5.4705050507116226</v>
      </c>
      <c r="O160" s="2">
        <f t="shared" si="20"/>
        <v>14.202807306422557</v>
      </c>
      <c r="P160" s="2">
        <f t="shared" si="21"/>
        <v>-7.4496845899669495</v>
      </c>
    </row>
    <row r="161" spans="1:16" hidden="1" x14ac:dyDescent="0.35">
      <c r="A161">
        <v>2562</v>
      </c>
      <c r="B161" t="s">
        <v>12</v>
      </c>
      <c r="C161">
        <v>21333.49</v>
      </c>
      <c r="D161">
        <v>990.59</v>
      </c>
      <c r="E161">
        <v>22324.07</v>
      </c>
      <c r="F161">
        <v>21724.07</v>
      </c>
      <c r="G161">
        <v>21824.07</v>
      </c>
      <c r="H161">
        <v>1499.27</v>
      </c>
      <c r="I161">
        <v>30.78</v>
      </c>
      <c r="J161" s="2">
        <f t="shared" si="15"/>
        <v>15.736065118418836</v>
      </c>
      <c r="K161" s="2">
        <f t="shared" si="16"/>
        <v>5.6640604166444461</v>
      </c>
      <c r="L161" s="2">
        <f t="shared" si="17"/>
        <v>15.248547136683513</v>
      </c>
      <c r="M161" s="2">
        <f t="shared" si="18"/>
        <v>15.735971107655317</v>
      </c>
      <c r="N161" s="2">
        <f t="shared" si="19"/>
        <v>15.652581268941731</v>
      </c>
      <c r="O161" s="2">
        <f t="shared" si="20"/>
        <v>24.748924556717682</v>
      </c>
      <c r="P161" s="2">
        <f t="shared" si="21"/>
        <v>-6.8683812405446218</v>
      </c>
    </row>
    <row r="162" spans="1:16" x14ac:dyDescent="0.35">
      <c r="A162">
        <v>2562</v>
      </c>
      <c r="B162" t="s">
        <v>13</v>
      </c>
      <c r="C162">
        <v>21361.05</v>
      </c>
      <c r="D162">
        <v>992.95</v>
      </c>
      <c r="E162">
        <v>22354</v>
      </c>
      <c r="F162">
        <v>21754</v>
      </c>
      <c r="G162">
        <v>21854</v>
      </c>
      <c r="H162">
        <v>1510.31</v>
      </c>
      <c r="I162">
        <v>30.58</v>
      </c>
      <c r="J162" s="2">
        <f t="shared" si="15"/>
        <v>17.871887943335992</v>
      </c>
      <c r="K162" s="2">
        <f t="shared" si="16"/>
        <v>6.5694292399167296</v>
      </c>
      <c r="L162" s="2">
        <f t="shared" si="17"/>
        <v>17.319198068647012</v>
      </c>
      <c r="M162" s="2">
        <f t="shared" si="18"/>
        <v>17.882301939958808</v>
      </c>
      <c r="N162" s="2">
        <f t="shared" si="19"/>
        <v>17.785922173116319</v>
      </c>
      <c r="O162" s="2">
        <f t="shared" si="20"/>
        <v>25.992508738414813</v>
      </c>
      <c r="P162" s="2">
        <f t="shared" si="21"/>
        <v>-6.3112745098039369</v>
      </c>
    </row>
    <row r="163" spans="1:16" hidden="1" x14ac:dyDescent="0.35">
      <c r="A163">
        <v>2562</v>
      </c>
      <c r="B163" t="s">
        <v>14</v>
      </c>
      <c r="C163">
        <v>21017.37</v>
      </c>
      <c r="D163">
        <v>988.18</v>
      </c>
      <c r="E163">
        <v>22005.56</v>
      </c>
      <c r="F163">
        <v>21405.56</v>
      </c>
      <c r="G163">
        <v>21505.56</v>
      </c>
      <c r="H163">
        <v>1494.54</v>
      </c>
      <c r="I163">
        <v>30.38</v>
      </c>
      <c r="J163" s="2">
        <f t="shared" si="15"/>
        <v>13.885840896418642</v>
      </c>
      <c r="K163" s="2">
        <f t="shared" si="16"/>
        <v>5.3699004073276058</v>
      </c>
      <c r="L163" s="2">
        <f t="shared" si="17"/>
        <v>13.474064062613621</v>
      </c>
      <c r="M163" s="2">
        <f t="shared" si="18"/>
        <v>13.904256943827335</v>
      </c>
      <c r="N163" s="2">
        <f t="shared" si="19"/>
        <v>13.830660592327476</v>
      </c>
      <c r="O163" s="2">
        <f t="shared" si="20"/>
        <v>22.943658843562574</v>
      </c>
      <c r="P163" s="2">
        <f t="shared" si="21"/>
        <v>-7.3498017688319663</v>
      </c>
    </row>
    <row r="164" spans="1:16" hidden="1" x14ac:dyDescent="0.35">
      <c r="A164">
        <v>2562</v>
      </c>
      <c r="B164" t="s">
        <v>15</v>
      </c>
      <c r="C164">
        <v>20632.759999999998</v>
      </c>
      <c r="D164">
        <v>978.78</v>
      </c>
      <c r="E164">
        <v>21611.54</v>
      </c>
      <c r="F164">
        <v>21011.54</v>
      </c>
      <c r="G164">
        <v>21111.54</v>
      </c>
      <c r="H164">
        <v>1472.67</v>
      </c>
      <c r="I164">
        <v>30.26</v>
      </c>
      <c r="J164" s="2">
        <f t="shared" si="15"/>
        <v>10.664234488832335</v>
      </c>
      <c r="K164" s="2">
        <f t="shared" si="16"/>
        <v>3.8967380343286635</v>
      </c>
      <c r="L164" s="2">
        <f t="shared" si="17"/>
        <v>10.338732619441714</v>
      </c>
      <c r="M164" s="2">
        <f t="shared" si="18"/>
        <v>10.66545036641746</v>
      </c>
      <c r="N164" s="2">
        <f t="shared" si="19"/>
        <v>10.609570933233584</v>
      </c>
      <c r="O164" s="2">
        <f t="shared" si="20"/>
        <v>20.573281261513515</v>
      </c>
      <c r="P164" s="2">
        <f t="shared" si="21"/>
        <v>-8.247422680412356</v>
      </c>
    </row>
    <row r="165" spans="1:16" x14ac:dyDescent="0.35">
      <c r="A165">
        <v>2562</v>
      </c>
      <c r="B165" t="s">
        <v>16</v>
      </c>
      <c r="C165">
        <v>20724.89</v>
      </c>
      <c r="D165">
        <v>978.96</v>
      </c>
      <c r="E165">
        <v>21703.85</v>
      </c>
      <c r="F165">
        <v>21103.85</v>
      </c>
      <c r="G165">
        <v>21203.85</v>
      </c>
      <c r="H165">
        <v>1481.89</v>
      </c>
      <c r="I165">
        <v>30.23</v>
      </c>
      <c r="J165" s="2">
        <f t="shared" si="15"/>
        <v>9.3830289416627579</v>
      </c>
      <c r="K165" s="2">
        <f t="shared" si="16"/>
        <v>3.358496542258365</v>
      </c>
      <c r="L165" s="2">
        <f t="shared" si="17"/>
        <v>9.0962052816319101</v>
      </c>
      <c r="M165" s="2">
        <f t="shared" si="18"/>
        <v>9.3790734328345735</v>
      </c>
      <c r="N165" s="2">
        <f t="shared" si="19"/>
        <v>9.3307133100927473</v>
      </c>
      <c r="O165" s="2">
        <f t="shared" si="20"/>
        <v>18.379786069770972</v>
      </c>
      <c r="P165" s="2">
        <f t="shared" si="21"/>
        <v>-7.6100244498777556</v>
      </c>
    </row>
    <row r="166" spans="1:16" hidden="1" x14ac:dyDescent="0.35">
      <c r="A166">
        <v>2563</v>
      </c>
      <c r="B166" t="s">
        <v>17</v>
      </c>
      <c r="C166">
        <v>21941.57</v>
      </c>
      <c r="D166">
        <v>1002.87</v>
      </c>
      <c r="E166">
        <v>22944.44</v>
      </c>
      <c r="F166">
        <v>22344.44</v>
      </c>
      <c r="G166">
        <v>22444.44</v>
      </c>
      <c r="H166">
        <v>1559.17</v>
      </c>
      <c r="I166">
        <v>30.43</v>
      </c>
      <c r="J166" s="2">
        <f t="shared" si="15"/>
        <v>15.264098222779992</v>
      </c>
      <c r="K166" s="2">
        <f t="shared" si="16"/>
        <v>5.6453311983819248</v>
      </c>
      <c r="L166" s="2">
        <f t="shared" si="17"/>
        <v>14.807214742516834</v>
      </c>
      <c r="M166" s="2">
        <f t="shared" si="18"/>
        <v>15.265519708602284</v>
      </c>
      <c r="N166" s="2">
        <f t="shared" si="19"/>
        <v>15.187175490718843</v>
      </c>
      <c r="O166" s="2">
        <f t="shared" si="20"/>
        <v>20.709623975163936</v>
      </c>
      <c r="P166" s="2">
        <f t="shared" si="21"/>
        <v>-4.3683218101822803</v>
      </c>
    </row>
    <row r="167" spans="1:16" hidden="1" x14ac:dyDescent="0.35">
      <c r="A167">
        <v>2563</v>
      </c>
      <c r="B167" t="s">
        <v>18</v>
      </c>
      <c r="C167">
        <v>23165.69</v>
      </c>
      <c r="D167">
        <v>1024.31</v>
      </c>
      <c r="E167">
        <v>24190</v>
      </c>
      <c r="F167">
        <v>23590</v>
      </c>
      <c r="G167">
        <v>23690</v>
      </c>
      <c r="H167">
        <v>1597.06</v>
      </c>
      <c r="I167">
        <v>31.34</v>
      </c>
      <c r="J167" s="2">
        <f t="shared" si="15"/>
        <v>21.09195396290562</v>
      </c>
      <c r="K167" s="2">
        <f t="shared" si="16"/>
        <v>7.9914813760529739</v>
      </c>
      <c r="L167" s="2">
        <f t="shared" si="17"/>
        <v>20.473107205128514</v>
      </c>
      <c r="M167" s="2">
        <f t="shared" si="18"/>
        <v>21.103722591876362</v>
      </c>
      <c r="N167" s="2">
        <f t="shared" si="19"/>
        <v>20.995935987071988</v>
      </c>
      <c r="O167" s="2">
        <f t="shared" si="20"/>
        <v>20.998560497007347</v>
      </c>
      <c r="P167" s="2">
        <f t="shared" si="21"/>
        <v>6.3856960408685381E-2</v>
      </c>
    </row>
    <row r="168" spans="1:16" x14ac:dyDescent="0.35">
      <c r="A168">
        <v>2563</v>
      </c>
      <c r="B168" t="s">
        <v>19</v>
      </c>
      <c r="C168">
        <v>23549.89</v>
      </c>
      <c r="D168">
        <v>1067.4100000000001</v>
      </c>
      <c r="E168">
        <v>24617.31</v>
      </c>
      <c r="F168">
        <v>23982.69</v>
      </c>
      <c r="G168">
        <v>24117.31</v>
      </c>
      <c r="H168">
        <v>1589.81</v>
      </c>
      <c r="I168">
        <v>32.130000000000003</v>
      </c>
      <c r="J168" s="2">
        <f t="shared" si="15"/>
        <v>23.122130404459412</v>
      </c>
      <c r="K168" s="2">
        <f t="shared" si="16"/>
        <v>12.397990881042901</v>
      </c>
      <c r="L168" s="2">
        <f t="shared" si="17"/>
        <v>22.614972814555244</v>
      </c>
      <c r="M168" s="2">
        <f t="shared" si="18"/>
        <v>23.133893860014837</v>
      </c>
      <c r="N168" s="2">
        <f t="shared" si="19"/>
        <v>23.19256553124805</v>
      </c>
      <c r="O168" s="2">
        <f t="shared" si="20"/>
        <v>22.071470254000431</v>
      </c>
      <c r="P168" s="2">
        <f t="shared" si="21"/>
        <v>1.2287334593573007</v>
      </c>
    </row>
    <row r="169" spans="1:16" hidden="1" x14ac:dyDescent="0.35">
      <c r="A169">
        <v>2563</v>
      </c>
      <c r="B169" t="s">
        <v>20</v>
      </c>
      <c r="C169">
        <v>25105.54</v>
      </c>
      <c r="D169">
        <v>1159.8399999999999</v>
      </c>
      <c r="E169">
        <v>26265.38</v>
      </c>
      <c r="F169">
        <v>25565.38</v>
      </c>
      <c r="G169">
        <v>25765.38</v>
      </c>
      <c r="H169">
        <v>1679.44</v>
      </c>
      <c r="I169">
        <v>32.630000000000003</v>
      </c>
      <c r="J169" s="2">
        <f t="shared" si="15"/>
        <v>32.18618237878411</v>
      </c>
      <c r="K169" s="2">
        <f t="shared" si="16"/>
        <v>22.121843873059973</v>
      </c>
      <c r="L169" s="2">
        <f t="shared" si="17"/>
        <v>31.706808288508199</v>
      </c>
      <c r="M169" s="2">
        <f t="shared" si="18"/>
        <v>32.173354682041577</v>
      </c>
      <c r="N169" s="2">
        <f t="shared" si="19"/>
        <v>32.522215724366077</v>
      </c>
      <c r="O169" s="2">
        <f t="shared" si="20"/>
        <v>30.517971633961537</v>
      </c>
      <c r="P169" s="2">
        <f t="shared" si="21"/>
        <v>2.3525721455458068</v>
      </c>
    </row>
    <row r="170" spans="1:16" hidden="1" x14ac:dyDescent="0.35">
      <c r="A170">
        <v>2563</v>
      </c>
      <c r="B170" t="s">
        <v>9</v>
      </c>
      <c r="C170">
        <v>25436.73</v>
      </c>
      <c r="D170">
        <v>1167.1199999999999</v>
      </c>
      <c r="E170">
        <v>26603.85</v>
      </c>
      <c r="F170">
        <v>25903.85</v>
      </c>
      <c r="G170">
        <v>26103.85</v>
      </c>
      <c r="H170">
        <v>1719.21</v>
      </c>
      <c r="I170">
        <v>32.1</v>
      </c>
      <c r="J170" s="2">
        <f t="shared" si="15"/>
        <v>34.573697300402984</v>
      </c>
      <c r="K170" s="2">
        <f t="shared" si="16"/>
        <v>23.316850513503212</v>
      </c>
      <c r="L170" s="2">
        <f t="shared" si="17"/>
        <v>34.036925355763628</v>
      </c>
      <c r="M170" s="2">
        <f t="shared" si="18"/>
        <v>34.578388052877784</v>
      </c>
      <c r="N170" s="2">
        <f t="shared" si="19"/>
        <v>34.916516566183304</v>
      </c>
      <c r="O170" s="2">
        <f t="shared" si="20"/>
        <v>33.935541169046701</v>
      </c>
      <c r="P170" s="2">
        <f t="shared" si="21"/>
        <v>0.91166299905691517</v>
      </c>
    </row>
    <row r="171" spans="1:16" x14ac:dyDescent="0.35">
      <c r="A171">
        <v>2563</v>
      </c>
      <c r="B171" t="s">
        <v>10</v>
      </c>
      <c r="C171">
        <v>25035.57</v>
      </c>
      <c r="D171">
        <v>1058.6600000000001</v>
      </c>
      <c r="E171">
        <v>26094.23</v>
      </c>
      <c r="F171">
        <v>25494.23</v>
      </c>
      <c r="G171">
        <v>25594.23</v>
      </c>
      <c r="H171">
        <v>1734.46</v>
      </c>
      <c r="I171">
        <v>31.17</v>
      </c>
      <c r="J171" s="2">
        <f t="shared" si="15"/>
        <v>28.064946145913495</v>
      </c>
      <c r="K171" s="2">
        <f t="shared" si="16"/>
        <v>10.405890205239459</v>
      </c>
      <c r="L171" s="2">
        <f t="shared" si="17"/>
        <v>27.239272479032579</v>
      </c>
      <c r="M171" s="2">
        <f t="shared" si="18"/>
        <v>28.060227044404257</v>
      </c>
      <c r="N171" s="2">
        <f t="shared" si="19"/>
        <v>27.91998200719712</v>
      </c>
      <c r="O171" s="2">
        <f t="shared" si="20"/>
        <v>27.643634597411022</v>
      </c>
      <c r="P171" s="2">
        <f t="shared" si="21"/>
        <v>0.16066838046273801</v>
      </c>
    </row>
    <row r="172" spans="1:16" hidden="1" x14ac:dyDescent="0.35">
      <c r="A172">
        <v>2563</v>
      </c>
      <c r="B172" t="s">
        <v>11</v>
      </c>
      <c r="C172">
        <v>26714.73</v>
      </c>
      <c r="D172">
        <v>1090.83</v>
      </c>
      <c r="E172">
        <v>27805.56</v>
      </c>
      <c r="F172">
        <v>27205.56</v>
      </c>
      <c r="G172">
        <v>27305.56</v>
      </c>
      <c r="H172">
        <v>1838.11</v>
      </c>
      <c r="I172">
        <v>31.42</v>
      </c>
      <c r="J172" s="2">
        <f t="shared" si="15"/>
        <v>32.506180212210438</v>
      </c>
      <c r="K172" s="2">
        <f t="shared" si="16"/>
        <v>12.629709553850745</v>
      </c>
      <c r="L172" s="2">
        <f t="shared" si="17"/>
        <v>31.59511075205765</v>
      </c>
      <c r="M172" s="2">
        <f t="shared" si="18"/>
        <v>32.518511049638988</v>
      </c>
      <c r="N172" s="2">
        <f t="shared" si="19"/>
        <v>32.360880927093717</v>
      </c>
      <c r="O172" s="2">
        <f t="shared" si="20"/>
        <v>29.913702318940977</v>
      </c>
      <c r="P172" s="2">
        <f t="shared" si="21"/>
        <v>1.9798766634209812</v>
      </c>
    </row>
    <row r="173" spans="1:16" hidden="1" x14ac:dyDescent="0.35">
      <c r="A173">
        <v>2563</v>
      </c>
      <c r="B173" t="s">
        <v>12</v>
      </c>
      <c r="C173">
        <v>28456.49</v>
      </c>
      <c r="D173">
        <v>1122.3599999999999</v>
      </c>
      <c r="E173">
        <v>29578.85</v>
      </c>
      <c r="F173">
        <v>28978.85</v>
      </c>
      <c r="G173">
        <v>29078.85</v>
      </c>
      <c r="H173">
        <v>1970.31</v>
      </c>
      <c r="I173">
        <v>31.22</v>
      </c>
      <c r="J173" s="2">
        <f t="shared" si="15"/>
        <v>33.388817300872944</v>
      </c>
      <c r="K173" s="2">
        <f t="shared" si="16"/>
        <v>13.302173452185045</v>
      </c>
      <c r="L173" s="2">
        <f t="shared" si="17"/>
        <v>32.49756876770229</v>
      </c>
      <c r="M173" s="2">
        <f t="shared" si="18"/>
        <v>33.395123473640069</v>
      </c>
      <c r="N173" s="2">
        <f t="shared" si="19"/>
        <v>33.24210378724041</v>
      </c>
      <c r="O173" s="2">
        <f t="shared" si="20"/>
        <v>31.417956738946287</v>
      </c>
      <c r="P173" s="2">
        <f t="shared" si="21"/>
        <v>1.4294996751137035</v>
      </c>
    </row>
    <row r="174" spans="1:16" x14ac:dyDescent="0.35">
      <c r="A174">
        <v>2563</v>
      </c>
      <c r="B174" t="s">
        <v>13</v>
      </c>
      <c r="C174">
        <v>27949.21</v>
      </c>
      <c r="D174">
        <v>1112.33</v>
      </c>
      <c r="E174">
        <v>29061.54</v>
      </c>
      <c r="F174">
        <v>28461.54</v>
      </c>
      <c r="G174">
        <v>28561.54</v>
      </c>
      <c r="H174">
        <v>1924.25</v>
      </c>
      <c r="I174">
        <v>31.37</v>
      </c>
      <c r="J174" s="2">
        <f t="shared" si="15"/>
        <v>30.841929586794663</v>
      </c>
      <c r="K174" s="2">
        <f t="shared" si="16"/>
        <v>12.022760461251806</v>
      </c>
      <c r="L174" s="2">
        <f t="shared" si="17"/>
        <v>30.005994452894328</v>
      </c>
      <c r="M174" s="2">
        <f t="shared" si="18"/>
        <v>30.833593821825872</v>
      </c>
      <c r="N174" s="2">
        <f t="shared" si="19"/>
        <v>30.69250480461244</v>
      </c>
      <c r="O174" s="2">
        <f t="shared" si="20"/>
        <v>27.407618303527087</v>
      </c>
      <c r="P174" s="2">
        <f t="shared" si="21"/>
        <v>2.5833878351864143</v>
      </c>
    </row>
    <row r="175" spans="1:16" hidden="1" x14ac:dyDescent="0.35">
      <c r="A175">
        <v>2563</v>
      </c>
      <c r="B175" t="s">
        <v>14</v>
      </c>
      <c r="C175">
        <v>27551.9</v>
      </c>
      <c r="D175">
        <v>1105.51</v>
      </c>
      <c r="E175">
        <v>28657.41</v>
      </c>
      <c r="F175">
        <v>28057.41</v>
      </c>
      <c r="G175">
        <v>28157.41</v>
      </c>
      <c r="H175">
        <v>1902.7</v>
      </c>
      <c r="I175">
        <v>31.26</v>
      </c>
      <c r="J175" s="2">
        <f t="shared" si="15"/>
        <v>31.091092748521817</v>
      </c>
      <c r="K175" s="2">
        <f t="shared" si="16"/>
        <v>11.873342913234424</v>
      </c>
      <c r="L175" s="2">
        <f t="shared" si="17"/>
        <v>30.228042367474387</v>
      </c>
      <c r="M175" s="2">
        <f t="shared" si="18"/>
        <v>31.075337435694252</v>
      </c>
      <c r="N175" s="2">
        <f t="shared" si="19"/>
        <v>30.930838350640471</v>
      </c>
      <c r="O175" s="2">
        <f t="shared" si="20"/>
        <v>27.310075340907574</v>
      </c>
      <c r="P175" s="2">
        <f t="shared" si="21"/>
        <v>2.8966425279789405</v>
      </c>
    </row>
    <row r="176" spans="1:16" hidden="1" x14ac:dyDescent="0.35">
      <c r="A176">
        <v>2563</v>
      </c>
      <c r="B176" t="s">
        <v>15</v>
      </c>
      <c r="C176">
        <v>26422.06</v>
      </c>
      <c r="D176">
        <v>1083.94</v>
      </c>
      <c r="E176">
        <v>27506</v>
      </c>
      <c r="F176">
        <v>26906</v>
      </c>
      <c r="G176">
        <v>27006</v>
      </c>
      <c r="H176">
        <v>1872.18</v>
      </c>
      <c r="I176">
        <v>30.46</v>
      </c>
      <c r="J176" s="2">
        <f t="shared" si="15"/>
        <v>28.058776431267574</v>
      </c>
      <c r="K176" s="2">
        <f t="shared" si="16"/>
        <v>10.743987412901788</v>
      </c>
      <c r="L176" s="2">
        <f t="shared" si="17"/>
        <v>27.274594961765786</v>
      </c>
      <c r="M176" s="2">
        <f t="shared" si="18"/>
        <v>28.053441109028654</v>
      </c>
      <c r="N176" s="2">
        <f t="shared" si="19"/>
        <v>27.920559087589055</v>
      </c>
      <c r="O176" s="2">
        <f t="shared" si="20"/>
        <v>27.128277210780411</v>
      </c>
      <c r="P176" s="2">
        <f t="shared" si="21"/>
        <v>0.66093853271644321</v>
      </c>
    </row>
    <row r="177" spans="1:16" x14ac:dyDescent="0.35">
      <c r="A177">
        <v>2563</v>
      </c>
      <c r="B177" t="s">
        <v>16</v>
      </c>
      <c r="C177">
        <v>25891.03</v>
      </c>
      <c r="D177">
        <v>1075.6300000000001</v>
      </c>
      <c r="E177">
        <v>26966.67</v>
      </c>
      <c r="F177">
        <v>26366.67</v>
      </c>
      <c r="G177">
        <v>26466.67</v>
      </c>
      <c r="H177">
        <v>1857.91</v>
      </c>
      <c r="I177">
        <v>30.09</v>
      </c>
      <c r="J177" s="2">
        <f t="shared" si="15"/>
        <v>24.927225186719923</v>
      </c>
      <c r="K177" s="2">
        <f t="shared" si="16"/>
        <v>9.8747650567949705</v>
      </c>
      <c r="L177" s="2">
        <f t="shared" si="17"/>
        <v>24.248324606003081</v>
      </c>
      <c r="M177" s="2">
        <f t="shared" si="18"/>
        <v>24.937724633183052</v>
      </c>
      <c r="N177" s="2">
        <f t="shared" si="19"/>
        <v>24.820115214925593</v>
      </c>
      <c r="O177" s="2">
        <f t="shared" si="20"/>
        <v>25.374353022154139</v>
      </c>
      <c r="P177" s="2">
        <f t="shared" si="21"/>
        <v>-0.4631161098246821</v>
      </c>
    </row>
    <row r="178" spans="1:16" hidden="1" x14ac:dyDescent="0.35">
      <c r="A178">
        <v>2564</v>
      </c>
      <c r="B178" t="s">
        <v>17</v>
      </c>
      <c r="C178">
        <v>25983.07</v>
      </c>
      <c r="D178">
        <v>1076.54</v>
      </c>
      <c r="E178">
        <v>27059.62</v>
      </c>
      <c r="F178">
        <v>26459.62</v>
      </c>
      <c r="G178">
        <v>26559.62</v>
      </c>
      <c r="H178">
        <v>1868.85</v>
      </c>
      <c r="I178">
        <v>30.02</v>
      </c>
      <c r="J178" s="2">
        <f t="shared" si="15"/>
        <v>18.419374730249487</v>
      </c>
      <c r="K178" s="2">
        <f t="shared" si="16"/>
        <v>7.345917217585523</v>
      </c>
      <c r="L178" s="2">
        <f t="shared" si="17"/>
        <v>17.935412675140469</v>
      </c>
      <c r="M178" s="2">
        <f t="shared" si="18"/>
        <v>18.417020073002504</v>
      </c>
      <c r="N178" s="2">
        <f t="shared" si="19"/>
        <v>18.334964026725544</v>
      </c>
      <c r="O178" s="2">
        <f t="shared" si="20"/>
        <v>19.861849573811696</v>
      </c>
      <c r="P178" s="2">
        <f t="shared" si="21"/>
        <v>-1.3473545842918213</v>
      </c>
    </row>
    <row r="179" spans="1:16" hidden="1" x14ac:dyDescent="0.35">
      <c r="A179">
        <v>2564</v>
      </c>
      <c r="B179" t="s">
        <v>18</v>
      </c>
      <c r="C179">
        <v>25188.34</v>
      </c>
      <c r="D179">
        <v>1061.6600000000001</v>
      </c>
      <c r="E179">
        <v>26250</v>
      </c>
      <c r="F179">
        <v>25650</v>
      </c>
      <c r="G179">
        <v>25750</v>
      </c>
      <c r="H179">
        <v>1809.85</v>
      </c>
      <c r="I179">
        <v>30.04</v>
      </c>
      <c r="J179" s="2">
        <f t="shared" si="15"/>
        <v>8.731231402992961</v>
      </c>
      <c r="K179" s="2">
        <f t="shared" si="16"/>
        <v>3.646357059874461</v>
      </c>
      <c r="L179" s="2">
        <f t="shared" si="17"/>
        <v>8.515915667631262</v>
      </c>
      <c r="M179" s="2">
        <f t="shared" si="18"/>
        <v>8.7325137770241525</v>
      </c>
      <c r="N179" s="2">
        <f t="shared" si="19"/>
        <v>8.6956521739130324</v>
      </c>
      <c r="O179" s="2">
        <f t="shared" si="20"/>
        <v>13.323857588318532</v>
      </c>
      <c r="P179" s="2">
        <f t="shared" si="21"/>
        <v>-4.1480536056158286</v>
      </c>
    </row>
    <row r="180" spans="1:16" x14ac:dyDescent="0.35">
      <c r="A180">
        <v>2564</v>
      </c>
      <c r="B180" t="s">
        <v>19</v>
      </c>
      <c r="C180">
        <v>24581.66</v>
      </c>
      <c r="D180">
        <v>1049.82</v>
      </c>
      <c r="E180">
        <v>25631.48</v>
      </c>
      <c r="F180">
        <v>25031.48</v>
      </c>
      <c r="G180">
        <v>25131.48</v>
      </c>
      <c r="H180">
        <v>1723.04</v>
      </c>
      <c r="I180">
        <v>30.79</v>
      </c>
      <c r="J180" s="2">
        <f t="shared" si="15"/>
        <v>4.3812094239081318</v>
      </c>
      <c r="K180" s="2">
        <f t="shared" si="16"/>
        <v>-1.6479141098547103</v>
      </c>
      <c r="L180" s="2">
        <f t="shared" si="17"/>
        <v>4.1197433838221968</v>
      </c>
      <c r="M180" s="2">
        <f t="shared" si="18"/>
        <v>4.3731124406811688</v>
      </c>
      <c r="N180" s="2">
        <f t="shared" si="19"/>
        <v>4.2051538915409736</v>
      </c>
      <c r="O180" s="2">
        <f t="shared" si="20"/>
        <v>8.3802466961460738</v>
      </c>
      <c r="P180" s="2">
        <f t="shared" si="21"/>
        <v>-4.1705571117336007</v>
      </c>
    </row>
    <row r="181" spans="1:16" hidden="1" x14ac:dyDescent="0.35">
      <c r="A181">
        <v>2564</v>
      </c>
      <c r="B181" t="s">
        <v>20</v>
      </c>
      <c r="C181">
        <v>25490.959999999999</v>
      </c>
      <c r="D181">
        <v>1066.74</v>
      </c>
      <c r="E181">
        <v>26557.69</v>
      </c>
      <c r="F181">
        <v>25957.69</v>
      </c>
      <c r="G181">
        <v>26057.69</v>
      </c>
      <c r="H181">
        <v>1756.56</v>
      </c>
      <c r="I181">
        <v>31.35</v>
      </c>
      <c r="J181" s="2">
        <f t="shared" si="15"/>
        <v>1.5351990038851966</v>
      </c>
      <c r="K181" s="2">
        <f t="shared" si="16"/>
        <v>-8.026969237136143</v>
      </c>
      <c r="L181" s="2">
        <f t="shared" si="17"/>
        <v>1.1129098455837863</v>
      </c>
      <c r="M181" s="2">
        <f t="shared" si="18"/>
        <v>1.5345361578822576</v>
      </c>
      <c r="N181" s="2">
        <f t="shared" si="19"/>
        <v>1.1345068460080938</v>
      </c>
      <c r="O181" s="2">
        <f t="shared" si="20"/>
        <v>4.5920068594293326</v>
      </c>
      <c r="P181" s="2">
        <f t="shared" si="21"/>
        <v>-3.922770456635007</v>
      </c>
    </row>
    <row r="182" spans="1:16" hidden="1" x14ac:dyDescent="0.35">
      <c r="A182">
        <v>2564</v>
      </c>
      <c r="B182" t="s">
        <v>9</v>
      </c>
      <c r="C182">
        <v>26736.99</v>
      </c>
      <c r="D182">
        <v>1089.93</v>
      </c>
      <c r="E182">
        <v>27826.92</v>
      </c>
      <c r="F182">
        <v>27226.92</v>
      </c>
      <c r="G182">
        <v>27326.92</v>
      </c>
      <c r="H182">
        <v>1847.04</v>
      </c>
      <c r="I182">
        <v>31.28</v>
      </c>
      <c r="J182" s="2">
        <f t="shared" si="15"/>
        <v>5.1117419573978253</v>
      </c>
      <c r="K182" s="2">
        <f t="shared" si="16"/>
        <v>-6.6137158132839744</v>
      </c>
      <c r="L182" s="2">
        <f t="shared" si="17"/>
        <v>4.597342114017323</v>
      </c>
      <c r="M182" s="2">
        <f t="shared" si="18"/>
        <v>5.1076191376957496</v>
      </c>
      <c r="N182" s="2">
        <f t="shared" si="19"/>
        <v>4.6854008125238238</v>
      </c>
      <c r="O182" s="2">
        <f t="shared" si="20"/>
        <v>7.4353918369483694</v>
      </c>
      <c r="P182" s="2">
        <f t="shared" si="21"/>
        <v>-2.554517133956395</v>
      </c>
    </row>
    <row r="183" spans="1:16" x14ac:dyDescent="0.35">
      <c r="A183">
        <v>2564</v>
      </c>
      <c r="B183" t="s">
        <v>10</v>
      </c>
      <c r="C183">
        <v>26722.42</v>
      </c>
      <c r="D183">
        <v>1087.2</v>
      </c>
      <c r="E183">
        <v>27809.62</v>
      </c>
      <c r="F183">
        <v>27209.62</v>
      </c>
      <c r="G183">
        <v>27309.62</v>
      </c>
      <c r="H183">
        <v>1835.67</v>
      </c>
      <c r="I183">
        <v>31.44</v>
      </c>
      <c r="J183" s="2">
        <f t="shared" si="15"/>
        <v>6.7378134390389164</v>
      </c>
      <c r="K183" s="2">
        <f t="shared" si="16"/>
        <v>2.6958608051687918</v>
      </c>
      <c r="L183" s="2">
        <f t="shared" si="17"/>
        <v>6.5738287736407699</v>
      </c>
      <c r="M183" s="2">
        <f t="shared" si="18"/>
        <v>6.7285421054097441</v>
      </c>
      <c r="N183" s="2">
        <f t="shared" si="19"/>
        <v>6.7022528124502969</v>
      </c>
      <c r="O183" s="2">
        <f t="shared" si="20"/>
        <v>5.8352455519297166</v>
      </c>
      <c r="P183" s="2">
        <f t="shared" si="21"/>
        <v>0.86621751684312187</v>
      </c>
    </row>
    <row r="184" spans="1:16" hidden="1" x14ac:dyDescent="0.35">
      <c r="A184">
        <v>2564</v>
      </c>
      <c r="B184" t="s">
        <v>11</v>
      </c>
      <c r="C184">
        <v>27291.37</v>
      </c>
      <c r="D184">
        <v>1101.22</v>
      </c>
      <c r="E184">
        <v>28392.59</v>
      </c>
      <c r="F184">
        <v>27792.59</v>
      </c>
      <c r="G184">
        <v>27892.59</v>
      </c>
      <c r="H184">
        <v>1806.09</v>
      </c>
      <c r="I184">
        <v>32.64</v>
      </c>
      <c r="J184" s="2">
        <f t="shared" si="15"/>
        <v>2.1585095563383874</v>
      </c>
      <c r="K184" s="2">
        <f t="shared" si="16"/>
        <v>0.9524857218815157</v>
      </c>
      <c r="L184" s="2">
        <f t="shared" si="17"/>
        <v>2.1111964657428217</v>
      </c>
      <c r="M184" s="2">
        <f t="shared" si="18"/>
        <v>2.1577574584018748</v>
      </c>
      <c r="N184" s="2">
        <f t="shared" si="19"/>
        <v>2.1498551943267046</v>
      </c>
      <c r="O184" s="2">
        <f t="shared" si="20"/>
        <v>-1.7420067351790749</v>
      </c>
      <c r="P184" s="2">
        <f t="shared" si="21"/>
        <v>3.8828771483131703</v>
      </c>
    </row>
    <row r="185" spans="1:16" hidden="1" x14ac:dyDescent="0.35">
      <c r="A185">
        <v>2564</v>
      </c>
      <c r="B185" t="s">
        <v>12</v>
      </c>
      <c r="C185">
        <v>27395.29</v>
      </c>
      <c r="D185">
        <v>1102.79</v>
      </c>
      <c r="E185">
        <v>28498.080000000002</v>
      </c>
      <c r="F185">
        <v>27898.080000000002</v>
      </c>
      <c r="G185">
        <v>27998.080000000002</v>
      </c>
      <c r="H185">
        <v>1786.1</v>
      </c>
      <c r="I185">
        <v>33.119999999999997</v>
      </c>
      <c r="J185" s="2">
        <f t="shared" si="15"/>
        <v>-3.7292020203475573</v>
      </c>
      <c r="K185" s="2">
        <f t="shared" si="16"/>
        <v>-1.7436473145871219</v>
      </c>
      <c r="L185" s="2">
        <f t="shared" si="17"/>
        <v>-3.6538607822819245</v>
      </c>
      <c r="M185" s="2">
        <f t="shared" si="18"/>
        <v>-3.7295130759157047</v>
      </c>
      <c r="N185" s="2">
        <f t="shared" si="19"/>
        <v>-3.7166875581393128</v>
      </c>
      <c r="O185" s="2">
        <f t="shared" si="20"/>
        <v>-9.3492902132151841</v>
      </c>
      <c r="P185" s="2">
        <f t="shared" si="21"/>
        <v>6.0858424087123524</v>
      </c>
    </row>
    <row r="186" spans="1:16" x14ac:dyDescent="0.35">
      <c r="A186">
        <v>2564</v>
      </c>
      <c r="B186" t="s">
        <v>13</v>
      </c>
      <c r="C186">
        <v>27275.17</v>
      </c>
      <c r="D186">
        <v>1099.83</v>
      </c>
      <c r="E186">
        <v>28375</v>
      </c>
      <c r="F186">
        <v>27775</v>
      </c>
      <c r="G186">
        <v>27875</v>
      </c>
      <c r="H186">
        <v>1781.67</v>
      </c>
      <c r="I186">
        <v>33.06</v>
      </c>
      <c r="J186" s="2">
        <f t="shared" si="15"/>
        <v>-2.4116602937972118</v>
      </c>
      <c r="K186" s="2">
        <f t="shared" si="16"/>
        <v>-1.1237672273515926</v>
      </c>
      <c r="L186" s="2">
        <f t="shared" si="17"/>
        <v>-2.3623662063331921</v>
      </c>
      <c r="M186" s="2">
        <f t="shared" si="18"/>
        <v>-2.4121674371801447</v>
      </c>
      <c r="N186" s="2">
        <f t="shared" si="19"/>
        <v>-2.4037219281593423</v>
      </c>
      <c r="O186" s="2">
        <f t="shared" si="20"/>
        <v>-7.4096401195270829</v>
      </c>
      <c r="P186" s="2">
        <f t="shared" si="21"/>
        <v>5.3873127191584445</v>
      </c>
    </row>
    <row r="187" spans="1:16" hidden="1" x14ac:dyDescent="0.35">
      <c r="A187">
        <v>2564</v>
      </c>
      <c r="B187" t="s">
        <v>14</v>
      </c>
      <c r="C187">
        <v>27522.98</v>
      </c>
      <c r="D187">
        <v>1105.8699999999999</v>
      </c>
      <c r="E187">
        <v>28628.85</v>
      </c>
      <c r="F187">
        <v>28028.85</v>
      </c>
      <c r="G187">
        <v>28128.85</v>
      </c>
      <c r="H187">
        <v>1774.69</v>
      </c>
      <c r="I187">
        <v>33.49</v>
      </c>
      <c r="J187" s="2">
        <f t="shared" si="15"/>
        <v>-0.10496553776691542</v>
      </c>
      <c r="K187" s="2">
        <f t="shared" si="16"/>
        <v>3.2564155909938108E-2</v>
      </c>
      <c r="L187" s="2">
        <f t="shared" si="17"/>
        <v>-9.9660087914443807E-2</v>
      </c>
      <c r="M187" s="2">
        <f t="shared" si="18"/>
        <v>-0.10179129149840094</v>
      </c>
      <c r="N187" s="2">
        <f t="shared" si="19"/>
        <v>-0.10142978349216492</v>
      </c>
      <c r="O187" s="2">
        <f t="shared" si="20"/>
        <v>-6.7278078519997848</v>
      </c>
      <c r="P187" s="2">
        <f t="shared" si="21"/>
        <v>7.1337172104926481</v>
      </c>
    </row>
    <row r="188" spans="1:16" hidden="1" x14ac:dyDescent="0.35">
      <c r="A188">
        <v>2564</v>
      </c>
      <c r="B188" t="s">
        <v>15</v>
      </c>
      <c r="C188">
        <v>27948.04</v>
      </c>
      <c r="D188">
        <v>1111.57</v>
      </c>
      <c r="E188">
        <v>29059.62</v>
      </c>
      <c r="F188">
        <v>28459.62</v>
      </c>
      <c r="G188">
        <v>28559.62</v>
      </c>
      <c r="H188">
        <v>1822.42</v>
      </c>
      <c r="I188">
        <v>33.11</v>
      </c>
      <c r="J188" s="2">
        <f t="shared" si="15"/>
        <v>5.7754013123882117</v>
      </c>
      <c r="K188" s="2">
        <f t="shared" si="16"/>
        <v>2.5490340793770798</v>
      </c>
      <c r="L188" s="2">
        <f t="shared" si="17"/>
        <v>5.6482949174725405</v>
      </c>
      <c r="M188" s="2">
        <f t="shared" si="18"/>
        <v>5.7742510964097278</v>
      </c>
      <c r="N188" s="2">
        <f t="shared" si="19"/>
        <v>5.7528697326519875</v>
      </c>
      <c r="O188" s="2">
        <f t="shared" si="20"/>
        <v>-2.6578640942644398</v>
      </c>
      <c r="P188" s="2">
        <f t="shared" si="21"/>
        <v>8.6999343401181761</v>
      </c>
    </row>
    <row r="189" spans="1:16" x14ac:dyDescent="0.35">
      <c r="A189">
        <v>2564</v>
      </c>
      <c r="B189" t="s">
        <v>16</v>
      </c>
      <c r="C189">
        <v>27882.05</v>
      </c>
      <c r="D189">
        <v>1112.4000000000001</v>
      </c>
      <c r="E189">
        <v>28994.44</v>
      </c>
      <c r="F189">
        <v>28394.44</v>
      </c>
      <c r="G189">
        <v>28494.44</v>
      </c>
      <c r="H189">
        <v>1792.17</v>
      </c>
      <c r="I189">
        <v>33.58</v>
      </c>
      <c r="J189" s="2">
        <f t="shared" si="15"/>
        <v>7.6899992004953077</v>
      </c>
      <c r="K189" s="2">
        <f t="shared" si="16"/>
        <v>3.4184617387019784</v>
      </c>
      <c r="L189" s="2">
        <f t="shared" si="17"/>
        <v>7.5195417157550395</v>
      </c>
      <c r="M189" s="2">
        <f t="shared" si="18"/>
        <v>7.6906564234315624</v>
      </c>
      <c r="N189" s="2">
        <f t="shared" si="19"/>
        <v>7.6615985312848238</v>
      </c>
      <c r="O189" s="2">
        <f t="shared" si="20"/>
        <v>-3.5383845288523048</v>
      </c>
      <c r="P189" s="2">
        <f t="shared" si="21"/>
        <v>11.598537720172814</v>
      </c>
    </row>
    <row r="190" spans="1:16" hidden="1" x14ac:dyDescent="0.35">
      <c r="A190">
        <v>2565</v>
      </c>
      <c r="B190" t="s">
        <v>17</v>
      </c>
      <c r="C190">
        <v>27994.11</v>
      </c>
      <c r="D190">
        <v>1113.5899999999999</v>
      </c>
      <c r="E190">
        <v>29107.69</v>
      </c>
      <c r="F190">
        <v>28507.69</v>
      </c>
      <c r="G190">
        <v>28607.69</v>
      </c>
      <c r="H190">
        <v>1817.06</v>
      </c>
      <c r="I190">
        <v>33.25</v>
      </c>
      <c r="J190" s="2">
        <f t="shared" si="15"/>
        <v>7.7398090371922876</v>
      </c>
      <c r="K190" s="2">
        <f t="shared" si="16"/>
        <v>3.4415813625132188</v>
      </c>
      <c r="L190" s="2">
        <f t="shared" si="17"/>
        <v>7.5687315638578951</v>
      </c>
      <c r="M190" s="2">
        <f t="shared" si="18"/>
        <v>7.7403605947477701</v>
      </c>
      <c r="N190" s="2">
        <f t="shared" si="19"/>
        <v>7.7112172538613066</v>
      </c>
      <c r="O190" s="2">
        <f t="shared" si="20"/>
        <v>-2.7712229445915852</v>
      </c>
      <c r="P190" s="2">
        <f t="shared" si="21"/>
        <v>10.759493670886073</v>
      </c>
    </row>
    <row r="191" spans="1:16" hidden="1" x14ac:dyDescent="0.35">
      <c r="A191">
        <v>2565</v>
      </c>
      <c r="B191" t="s">
        <v>18</v>
      </c>
      <c r="C191">
        <v>28088.95</v>
      </c>
      <c r="D191">
        <v>1113.1300000000001</v>
      </c>
      <c r="E191">
        <v>29202.080000000002</v>
      </c>
      <c r="F191">
        <v>28602.080000000002</v>
      </c>
      <c r="G191">
        <v>28702.080000000002</v>
      </c>
      <c r="H191">
        <v>1858.15</v>
      </c>
      <c r="I191">
        <v>32.64</v>
      </c>
      <c r="J191" s="2">
        <f t="shared" si="15"/>
        <v>11.51568543222777</v>
      </c>
      <c r="K191" s="2">
        <f t="shared" si="16"/>
        <v>4.8480681197370075</v>
      </c>
      <c r="L191" s="2">
        <f t="shared" si="17"/>
        <v>11.246019047619058</v>
      </c>
      <c r="M191" s="2">
        <f t="shared" si="18"/>
        <v>11.509083820662781</v>
      </c>
      <c r="N191" s="2">
        <f t="shared" si="19"/>
        <v>11.464388349514579</v>
      </c>
      <c r="O191" s="2">
        <f t="shared" si="20"/>
        <v>2.6687294527170735</v>
      </c>
      <c r="P191" s="2">
        <f t="shared" si="21"/>
        <v>8.6551264980026588</v>
      </c>
    </row>
    <row r="192" spans="1:16" x14ac:dyDescent="0.35">
      <c r="A192">
        <v>2565</v>
      </c>
      <c r="B192" t="s">
        <v>19</v>
      </c>
      <c r="C192">
        <v>29959.53</v>
      </c>
      <c r="D192">
        <v>1149.73</v>
      </c>
      <c r="E192">
        <v>31109.26</v>
      </c>
      <c r="F192">
        <v>30509.26</v>
      </c>
      <c r="G192">
        <v>30609.26</v>
      </c>
      <c r="H192">
        <v>1948.33</v>
      </c>
      <c r="I192">
        <v>33.24</v>
      </c>
      <c r="J192" s="2">
        <f t="shared" si="15"/>
        <v>21.877570513952264</v>
      </c>
      <c r="K192" s="2">
        <f t="shared" si="16"/>
        <v>9.5168695585910115</v>
      </c>
      <c r="L192" s="2">
        <f t="shared" si="17"/>
        <v>21.371298106859228</v>
      </c>
      <c r="M192" s="2">
        <f t="shared" si="18"/>
        <v>21.883564215939288</v>
      </c>
      <c r="N192" s="2">
        <f t="shared" si="19"/>
        <v>21.796487910779618</v>
      </c>
      <c r="O192" s="2">
        <f t="shared" si="20"/>
        <v>13.075146253133994</v>
      </c>
      <c r="P192" s="2">
        <f t="shared" si="21"/>
        <v>7.9571289379668713</v>
      </c>
    </row>
    <row r="193" spans="1:16" hidden="1" x14ac:dyDescent="0.35">
      <c r="A193">
        <v>2565</v>
      </c>
      <c r="B193" t="s">
        <v>20</v>
      </c>
      <c r="C193">
        <v>30340.41</v>
      </c>
      <c r="D193">
        <v>1155.75</v>
      </c>
      <c r="E193">
        <v>31496.15</v>
      </c>
      <c r="F193">
        <v>30896.15</v>
      </c>
      <c r="G193">
        <v>30996.15</v>
      </c>
      <c r="H193">
        <v>1939.35</v>
      </c>
      <c r="I193">
        <v>33.78</v>
      </c>
      <c r="J193" s="2">
        <f t="shared" si="15"/>
        <v>19.024195244117919</v>
      </c>
      <c r="K193" s="2">
        <f t="shared" si="16"/>
        <v>8.3441138421733569</v>
      </c>
      <c r="L193" s="2">
        <f t="shared" si="17"/>
        <v>18.595216677354102</v>
      </c>
      <c r="M193" s="2">
        <f t="shared" si="18"/>
        <v>19.025036511338271</v>
      </c>
      <c r="N193" s="2">
        <f t="shared" si="19"/>
        <v>18.952025294644329</v>
      </c>
      <c r="O193" s="2">
        <f t="shared" si="20"/>
        <v>10.406134717857626</v>
      </c>
      <c r="P193" s="2">
        <f t="shared" si="21"/>
        <v>7.7511961722487968</v>
      </c>
    </row>
    <row r="194" spans="1:16" hidden="1" x14ac:dyDescent="0.35">
      <c r="A194">
        <v>2565</v>
      </c>
      <c r="B194" t="s">
        <v>9</v>
      </c>
      <c r="C194">
        <v>29546.84</v>
      </c>
      <c r="D194">
        <v>1139.7</v>
      </c>
      <c r="E194">
        <v>30686.54</v>
      </c>
      <c r="F194">
        <v>30086.54</v>
      </c>
      <c r="G194">
        <v>30186.54</v>
      </c>
      <c r="H194">
        <v>1851.6</v>
      </c>
      <c r="I194">
        <v>34.43</v>
      </c>
      <c r="J194" s="2">
        <f t="shared" si="15"/>
        <v>10.509223364335327</v>
      </c>
      <c r="K194" s="2">
        <f t="shared" si="16"/>
        <v>4.5663482975971021</v>
      </c>
      <c r="L194" s="2">
        <f t="shared" si="17"/>
        <v>10.276451723726538</v>
      </c>
      <c r="M194" s="2">
        <f t="shared" si="18"/>
        <v>10.502914027734334</v>
      </c>
      <c r="N194" s="2">
        <f t="shared" si="19"/>
        <v>10.464479714508627</v>
      </c>
      <c r="O194" s="2">
        <f t="shared" si="20"/>
        <v>0.24688149688149963</v>
      </c>
      <c r="P194" s="2">
        <f t="shared" si="21"/>
        <v>10.070332480818408</v>
      </c>
    </row>
    <row r="195" spans="1:16" x14ac:dyDescent="0.35">
      <c r="A195">
        <v>2565</v>
      </c>
      <c r="B195" t="s">
        <v>10</v>
      </c>
      <c r="C195">
        <v>29775.41</v>
      </c>
      <c r="D195">
        <v>1145.75</v>
      </c>
      <c r="E195">
        <v>30921.15</v>
      </c>
      <c r="F195">
        <v>30321.15</v>
      </c>
      <c r="G195">
        <v>30421.15</v>
      </c>
      <c r="H195">
        <v>1839.42</v>
      </c>
      <c r="I195">
        <v>34.94</v>
      </c>
      <c r="J195" s="2">
        <f t="shared" si="15"/>
        <v>11.424826044946542</v>
      </c>
      <c r="K195" s="2">
        <f t="shared" si="16"/>
        <v>5.3853936718175248</v>
      </c>
      <c r="L195" s="2">
        <f t="shared" si="17"/>
        <v>11.18868218983215</v>
      </c>
      <c r="M195" s="2">
        <f t="shared" si="18"/>
        <v>11.435404096051329</v>
      </c>
      <c r="N195" s="2">
        <f t="shared" si="19"/>
        <v>11.393530924267708</v>
      </c>
      <c r="O195" s="2">
        <f t="shared" si="20"/>
        <v>0.20428508392032541</v>
      </c>
      <c r="P195" s="2">
        <f t="shared" si="21"/>
        <v>11.13231552162847</v>
      </c>
    </row>
    <row r="196" spans="1:16" hidden="1" x14ac:dyDescent="0.35">
      <c r="A196">
        <v>2565</v>
      </c>
      <c r="B196" t="s">
        <v>11</v>
      </c>
      <c r="C196">
        <v>29341.599999999999</v>
      </c>
      <c r="D196">
        <v>1137.25</v>
      </c>
      <c r="E196">
        <v>30478.85</v>
      </c>
      <c r="F196">
        <v>29878.85</v>
      </c>
      <c r="G196">
        <v>29978.85</v>
      </c>
      <c r="H196">
        <v>1742.04</v>
      </c>
      <c r="I196">
        <v>36.32</v>
      </c>
      <c r="J196" s="2">
        <f t="shared" si="15"/>
        <v>7.5123747910053567</v>
      </c>
      <c r="K196" s="2">
        <f t="shared" si="16"/>
        <v>3.2718257932111641</v>
      </c>
      <c r="L196" s="2">
        <f t="shared" si="17"/>
        <v>7.3479030972517734</v>
      </c>
      <c r="M196" s="2">
        <f t="shared" si="18"/>
        <v>7.5065332162277656</v>
      </c>
      <c r="N196" s="2">
        <f t="shared" si="19"/>
        <v>7.4796209315807403</v>
      </c>
      <c r="O196" s="2">
        <f t="shared" si="20"/>
        <v>-3.5463349002541378</v>
      </c>
      <c r="P196" s="2">
        <f t="shared" si="21"/>
        <v>11.274509803921575</v>
      </c>
    </row>
    <row r="197" spans="1:16" hidden="1" x14ac:dyDescent="0.35">
      <c r="A197">
        <v>2565</v>
      </c>
      <c r="B197" t="s">
        <v>12</v>
      </c>
      <c r="C197">
        <v>29323.93</v>
      </c>
      <c r="D197">
        <v>1139.03</v>
      </c>
      <c r="E197">
        <v>30462.959999999999</v>
      </c>
      <c r="F197">
        <v>29862.959999999999</v>
      </c>
      <c r="G197">
        <v>29962.959999999999</v>
      </c>
      <c r="H197">
        <v>1764.59</v>
      </c>
      <c r="I197">
        <v>35.840000000000003</v>
      </c>
      <c r="J197" s="2">
        <f t="shared" si="15"/>
        <v>7.0400422846409043</v>
      </c>
      <c r="K197" s="2">
        <f t="shared" si="16"/>
        <v>3.2862104299096018</v>
      </c>
      <c r="L197" s="2">
        <f t="shared" si="17"/>
        <v>6.8947802799346363</v>
      </c>
      <c r="M197" s="2">
        <f t="shared" si="18"/>
        <v>7.0430653292269341</v>
      </c>
      <c r="N197" s="2">
        <f t="shared" si="19"/>
        <v>7.0179097995290931</v>
      </c>
      <c r="O197" s="2">
        <f t="shared" si="20"/>
        <v>-1.2042998712278035</v>
      </c>
      <c r="P197" s="2">
        <f t="shared" si="21"/>
        <v>8.2125603864734416</v>
      </c>
    </row>
    <row r="198" spans="1:16" x14ac:dyDescent="0.35">
      <c r="A198">
        <v>2565</v>
      </c>
      <c r="B198" t="s">
        <v>13</v>
      </c>
      <c r="C198">
        <v>28907.200000000001</v>
      </c>
      <c r="D198">
        <v>1131.26</v>
      </c>
      <c r="E198">
        <v>30038.46</v>
      </c>
      <c r="F198">
        <v>29438.46</v>
      </c>
      <c r="G198">
        <v>29538.46</v>
      </c>
      <c r="H198">
        <v>1684.94</v>
      </c>
      <c r="I198">
        <v>37.01</v>
      </c>
      <c r="J198" s="2">
        <f t="shared" si="15"/>
        <v>5.9835740712156991</v>
      </c>
      <c r="K198" s="2">
        <f t="shared" si="16"/>
        <v>2.8577143740396309</v>
      </c>
      <c r="L198" s="2">
        <f t="shared" si="17"/>
        <v>5.8624140969162966</v>
      </c>
      <c r="M198" s="2">
        <f t="shared" si="18"/>
        <v>5.9890549054905478</v>
      </c>
      <c r="N198" s="2">
        <f t="shared" si="19"/>
        <v>5.9675695067264485</v>
      </c>
      <c r="O198" s="2">
        <f t="shared" si="20"/>
        <v>-5.4291759977998169</v>
      </c>
      <c r="P198" s="2">
        <f t="shared" si="21"/>
        <v>11.947973381730165</v>
      </c>
    </row>
    <row r="199" spans="1:16" hidden="1" x14ac:dyDescent="0.35">
      <c r="A199">
        <v>2565</v>
      </c>
      <c r="B199" t="s">
        <v>14</v>
      </c>
      <c r="C199">
        <v>29279.79</v>
      </c>
      <c r="D199">
        <v>1135.5899999999999</v>
      </c>
      <c r="E199">
        <v>30415.38</v>
      </c>
      <c r="F199">
        <v>29815.38</v>
      </c>
      <c r="G199">
        <v>29915.38</v>
      </c>
      <c r="H199">
        <v>1664.98</v>
      </c>
      <c r="I199">
        <v>37.94</v>
      </c>
      <c r="J199" s="2">
        <f t="shared" si="15"/>
        <v>6.3830660778738491</v>
      </c>
      <c r="K199" s="2">
        <f t="shared" si="16"/>
        <v>2.6874768281986121</v>
      </c>
      <c r="L199" s="2">
        <f t="shared" si="17"/>
        <v>6.2403135298833234</v>
      </c>
      <c r="M199" s="2">
        <f t="shared" si="18"/>
        <v>6.3738968955201756</v>
      </c>
      <c r="N199" s="2">
        <f t="shared" si="19"/>
        <v>6.3512372528560661</v>
      </c>
      <c r="O199" s="2">
        <f t="shared" si="20"/>
        <v>-6.1819247305163145</v>
      </c>
      <c r="P199" s="2">
        <f t="shared" si="21"/>
        <v>13.287548521946846</v>
      </c>
    </row>
    <row r="200" spans="1:16" hidden="1" x14ac:dyDescent="0.35">
      <c r="A200">
        <v>2565</v>
      </c>
      <c r="B200" t="s">
        <v>15</v>
      </c>
      <c r="C200">
        <v>29100.79</v>
      </c>
      <c r="D200">
        <v>1133.83</v>
      </c>
      <c r="E200">
        <v>30234.62</v>
      </c>
      <c r="F200">
        <v>29634.62</v>
      </c>
      <c r="G200">
        <v>29734.62</v>
      </c>
      <c r="H200">
        <v>1727.44</v>
      </c>
      <c r="I200">
        <v>36.380000000000003</v>
      </c>
      <c r="J200" s="2">
        <f t="shared" si="15"/>
        <v>4.1246183990004255</v>
      </c>
      <c r="K200" s="2">
        <f t="shared" si="16"/>
        <v>2.0025729373768684</v>
      </c>
      <c r="L200" s="2">
        <f t="shared" si="17"/>
        <v>4.0434114417187743</v>
      </c>
      <c r="M200" s="2">
        <f t="shared" si="18"/>
        <v>4.1286566721551452</v>
      </c>
      <c r="N200" s="2">
        <f t="shared" si="19"/>
        <v>4.1142003990249236</v>
      </c>
      <c r="O200" s="2">
        <f t="shared" si="20"/>
        <v>-5.211751407469194</v>
      </c>
      <c r="P200" s="2">
        <f t="shared" si="21"/>
        <v>9.876170341286624</v>
      </c>
    </row>
    <row r="201" spans="1:16" x14ac:dyDescent="0.35">
      <c r="A201">
        <v>2565</v>
      </c>
      <c r="B201" t="s">
        <v>16</v>
      </c>
      <c r="C201">
        <v>28967.95</v>
      </c>
      <c r="D201">
        <v>1132.05</v>
      </c>
      <c r="E201">
        <v>30100</v>
      </c>
      <c r="F201">
        <v>29500</v>
      </c>
      <c r="G201">
        <v>29600</v>
      </c>
      <c r="H201">
        <v>1797.2</v>
      </c>
      <c r="I201">
        <v>34.79</v>
      </c>
      <c r="J201" s="2">
        <f t="shared" si="15"/>
        <v>3.8946203740399312</v>
      </c>
      <c r="K201" s="2">
        <f t="shared" si="16"/>
        <v>1.7664509169363498</v>
      </c>
      <c r="L201" s="2">
        <f t="shared" si="17"/>
        <v>3.8130069075312321</v>
      </c>
      <c r="M201" s="2">
        <f t="shared" si="18"/>
        <v>3.8935791654985934</v>
      </c>
      <c r="N201" s="2">
        <f t="shared" si="19"/>
        <v>3.8799148184698566</v>
      </c>
      <c r="O201" s="2">
        <f t="shared" si="20"/>
        <v>0.28066533866764587</v>
      </c>
      <c r="P201" s="2">
        <f t="shared" si="21"/>
        <v>3.6033353186420527</v>
      </c>
    </row>
    <row r="202" spans="1:16" hidden="1" x14ac:dyDescent="0.35">
      <c r="A202">
        <v>2566</v>
      </c>
      <c r="B202" t="s">
        <v>17</v>
      </c>
      <c r="C202">
        <v>29227.9</v>
      </c>
      <c r="D202">
        <v>1133.6400000000001</v>
      </c>
      <c r="E202">
        <v>30361.54</v>
      </c>
      <c r="F202">
        <v>29761.54</v>
      </c>
      <c r="G202">
        <v>29861.54</v>
      </c>
      <c r="H202">
        <v>1897.15</v>
      </c>
      <c r="I202">
        <v>33.270000000000003</v>
      </c>
      <c r="J202" s="2">
        <f t="shared" si="15"/>
        <v>4.4073199683790705</v>
      </c>
      <c r="K202" s="2">
        <f t="shared" si="16"/>
        <v>1.800483122154489</v>
      </c>
      <c r="L202" s="2">
        <f t="shared" si="17"/>
        <v>4.307624548701753</v>
      </c>
      <c r="M202" s="2">
        <f t="shared" si="18"/>
        <v>4.398286918371852</v>
      </c>
      <c r="N202" s="2">
        <f t="shared" si="19"/>
        <v>4.3829124266936645</v>
      </c>
      <c r="O202" s="2">
        <f t="shared" si="20"/>
        <v>4.4076695321013233</v>
      </c>
      <c r="P202" s="2">
        <f t="shared" si="21"/>
        <v>6.0150375939855394E-2</v>
      </c>
    </row>
    <row r="203" spans="1:16" hidden="1" x14ac:dyDescent="0.35">
      <c r="A203">
        <v>2566</v>
      </c>
      <c r="B203" t="s">
        <v>18</v>
      </c>
      <c r="C203">
        <v>29287.23</v>
      </c>
      <c r="D203">
        <v>1135.69</v>
      </c>
      <c r="E203">
        <v>30422.92</v>
      </c>
      <c r="F203">
        <v>29822.92</v>
      </c>
      <c r="G203">
        <v>29922.92</v>
      </c>
      <c r="H203">
        <v>1857.5</v>
      </c>
      <c r="I203">
        <v>34.049999999999997</v>
      </c>
      <c r="J203" s="2">
        <f t="shared" si="15"/>
        <v>4.2660191997208727</v>
      </c>
      <c r="K203" s="2">
        <f t="shared" si="16"/>
        <v>2.0267174543853912</v>
      </c>
      <c r="L203" s="2">
        <f t="shared" si="17"/>
        <v>4.1806611035926124</v>
      </c>
      <c r="M203" s="2">
        <f t="shared" si="18"/>
        <v>4.2683609024238649</v>
      </c>
      <c r="N203" s="2">
        <f t="shared" si="19"/>
        <v>4.2534896425624709</v>
      </c>
      <c r="O203" s="2">
        <f t="shared" si="20"/>
        <v>-3.4981029518604601E-2</v>
      </c>
      <c r="P203" s="2">
        <f t="shared" si="21"/>
        <v>4.3198529411764497</v>
      </c>
    </row>
    <row r="204" spans="1:16" x14ac:dyDescent="0.35">
      <c r="A204">
        <v>2566</v>
      </c>
      <c r="B204" t="s">
        <v>19</v>
      </c>
      <c r="C204">
        <v>30481.71</v>
      </c>
      <c r="D204">
        <v>1157.18</v>
      </c>
      <c r="E204">
        <v>31638.89</v>
      </c>
      <c r="F204">
        <v>31038.89</v>
      </c>
      <c r="G204">
        <v>31138.89</v>
      </c>
      <c r="H204">
        <v>1910.22</v>
      </c>
      <c r="I204">
        <v>34.47</v>
      </c>
      <c r="J204" s="2">
        <f t="shared" si="15"/>
        <v>1.7429512412244037</v>
      </c>
      <c r="K204" s="2">
        <f t="shared" si="16"/>
        <v>0.64797822097362712</v>
      </c>
      <c r="L204" s="2">
        <f t="shared" si="17"/>
        <v>1.7024834406218758</v>
      </c>
      <c r="M204" s="2">
        <f t="shared" si="18"/>
        <v>1.7359647529963098</v>
      </c>
      <c r="N204" s="2">
        <f t="shared" si="19"/>
        <v>1.7302933818066748</v>
      </c>
      <c r="O204" s="2">
        <f t="shared" si="20"/>
        <v>-1.9560341420601191</v>
      </c>
      <c r="P204" s="2">
        <f t="shared" si="21"/>
        <v>3.7003610108303064</v>
      </c>
    </row>
    <row r="205" spans="1:16" hidden="1" x14ac:dyDescent="0.35">
      <c r="A205">
        <v>2566</v>
      </c>
      <c r="B205" t="s">
        <v>20</v>
      </c>
      <c r="C205">
        <v>31707.439999999999</v>
      </c>
      <c r="D205">
        <v>1182.56</v>
      </c>
      <c r="E205">
        <v>32890</v>
      </c>
      <c r="F205">
        <v>32290</v>
      </c>
      <c r="G205">
        <v>32390</v>
      </c>
      <c r="H205">
        <v>1997.66</v>
      </c>
      <c r="I205">
        <v>34.24</v>
      </c>
      <c r="J205" s="2">
        <f t="shared" si="15"/>
        <v>4.5056411564642644</v>
      </c>
      <c r="K205" s="2">
        <f t="shared" si="16"/>
        <v>2.319705818732416</v>
      </c>
      <c r="L205" s="2">
        <f t="shared" si="17"/>
        <v>4.4254615246625377</v>
      </c>
      <c r="M205" s="2">
        <f t="shared" si="18"/>
        <v>4.5114035243873474</v>
      </c>
      <c r="N205" s="2">
        <f t="shared" si="19"/>
        <v>4.4968488021899446</v>
      </c>
      <c r="O205" s="2">
        <f t="shared" si="20"/>
        <v>3.0066774950369961</v>
      </c>
      <c r="P205" s="2">
        <f t="shared" si="21"/>
        <v>1.3617525162818396</v>
      </c>
    </row>
    <row r="206" spans="1:16" hidden="1" x14ac:dyDescent="0.35">
      <c r="A206">
        <v>2566</v>
      </c>
      <c r="B206" t="s">
        <v>9</v>
      </c>
      <c r="C206">
        <v>31578.84</v>
      </c>
      <c r="D206">
        <v>1178.57</v>
      </c>
      <c r="E206">
        <v>32757.41</v>
      </c>
      <c r="F206">
        <v>32157.41</v>
      </c>
      <c r="G206">
        <v>32257.41</v>
      </c>
      <c r="H206">
        <v>1991.06</v>
      </c>
      <c r="I206">
        <v>34.22</v>
      </c>
      <c r="J206" s="2">
        <f t="shared" ref="J206:J269" si="22">C206/C194*100-100</f>
        <v>6.8772159730109905</v>
      </c>
      <c r="K206" s="2">
        <f t="shared" ref="K206:K269" si="23">D206/D194*100-100</f>
        <v>3.4105466350793989</v>
      </c>
      <c r="L206" s="2">
        <f t="shared" ref="L206:L269" si="24">E206/E194*100-100</f>
        <v>6.7484636586594604</v>
      </c>
      <c r="M206" s="2">
        <f t="shared" ref="M206:M269" si="25">F206/F194*100-100</f>
        <v>6.8830447103588597</v>
      </c>
      <c r="N206" s="2">
        <f t="shared" ref="N206:N269" si="26">G206/G194*100-100</f>
        <v>6.8602430089702153</v>
      </c>
      <c r="O206" s="2">
        <f t="shared" ref="O206:O269" si="27">H206/H194*100-100</f>
        <v>7.5318643335493505</v>
      </c>
      <c r="P206" s="2">
        <f t="shared" ref="P206:P269" si="28">I206/I194*100-100</f>
        <v>-0.60993319779262833</v>
      </c>
    </row>
    <row r="207" spans="1:16" x14ac:dyDescent="0.35">
      <c r="A207">
        <v>2566</v>
      </c>
      <c r="B207" t="s">
        <v>10</v>
      </c>
      <c r="C207">
        <v>31459.33</v>
      </c>
      <c r="D207">
        <v>1177.21</v>
      </c>
      <c r="E207">
        <v>32636.54</v>
      </c>
      <c r="F207">
        <v>32036.54</v>
      </c>
      <c r="G207">
        <v>32136.54</v>
      </c>
      <c r="H207">
        <v>1943.96</v>
      </c>
      <c r="I207">
        <v>34.92</v>
      </c>
      <c r="J207" s="2">
        <f t="shared" si="22"/>
        <v>5.6554049129802166</v>
      </c>
      <c r="K207" s="2">
        <f t="shared" si="23"/>
        <v>2.7457996945232424</v>
      </c>
      <c r="L207" s="2">
        <f t="shared" si="24"/>
        <v>5.5476267861964885</v>
      </c>
      <c r="M207" s="2">
        <f t="shared" si="25"/>
        <v>5.6574041551854037</v>
      </c>
      <c r="N207" s="2">
        <f t="shared" si="26"/>
        <v>5.6388072114301906</v>
      </c>
      <c r="O207" s="2">
        <f t="shared" si="27"/>
        <v>5.6833132182970729</v>
      </c>
      <c r="P207" s="2">
        <f t="shared" si="28"/>
        <v>-5.7240984544932871E-2</v>
      </c>
    </row>
    <row r="208" spans="1:16" hidden="1" x14ac:dyDescent="0.35">
      <c r="A208">
        <v>2566</v>
      </c>
      <c r="B208" t="s">
        <v>11</v>
      </c>
      <c r="C208">
        <v>31286.74</v>
      </c>
      <c r="D208">
        <v>1172.8699999999999</v>
      </c>
      <c r="E208">
        <v>32459.62</v>
      </c>
      <c r="F208">
        <v>31859.62</v>
      </c>
      <c r="G208">
        <v>31959.62</v>
      </c>
      <c r="H208">
        <v>1948.4</v>
      </c>
      <c r="I208">
        <v>34.65</v>
      </c>
      <c r="J208" s="2">
        <f t="shared" si="22"/>
        <v>6.6292908362188996</v>
      </c>
      <c r="K208" s="2">
        <f t="shared" si="23"/>
        <v>3.1321169487799523</v>
      </c>
      <c r="L208" s="2">
        <f t="shared" si="24"/>
        <v>6.498834437651027</v>
      </c>
      <c r="M208" s="2">
        <f t="shared" si="25"/>
        <v>6.6293381438710099</v>
      </c>
      <c r="N208" s="2">
        <f t="shared" si="26"/>
        <v>6.6072247601225627</v>
      </c>
      <c r="O208" s="2">
        <f t="shared" si="27"/>
        <v>11.845881839682221</v>
      </c>
      <c r="P208" s="2">
        <f t="shared" si="28"/>
        <v>-4.5980176211453738</v>
      </c>
    </row>
    <row r="209" spans="1:16" hidden="1" x14ac:dyDescent="0.35">
      <c r="A209">
        <v>2566</v>
      </c>
      <c r="B209" t="s">
        <v>12</v>
      </c>
      <c r="C209">
        <v>31162.22</v>
      </c>
      <c r="D209">
        <v>1171.1099999999999</v>
      </c>
      <c r="E209">
        <v>32333.33</v>
      </c>
      <c r="F209">
        <v>31733.33</v>
      </c>
      <c r="G209">
        <v>31833.33</v>
      </c>
      <c r="H209">
        <v>1919.93</v>
      </c>
      <c r="I209">
        <v>35.020000000000003</v>
      </c>
      <c r="J209" s="2">
        <f t="shared" si="22"/>
        <v>6.2689073395005437</v>
      </c>
      <c r="K209" s="2">
        <f t="shared" si="23"/>
        <v>2.8164315250695608</v>
      </c>
      <c r="L209" s="2">
        <f t="shared" si="24"/>
        <v>6.1398170105597245</v>
      </c>
      <c r="M209" s="2">
        <f t="shared" si="25"/>
        <v>6.2631768585565482</v>
      </c>
      <c r="N209" s="2">
        <f t="shared" si="26"/>
        <v>6.2422737940443795</v>
      </c>
      <c r="O209" s="2">
        <f t="shared" si="27"/>
        <v>8.8031780753602789</v>
      </c>
      <c r="P209" s="2">
        <f t="shared" si="28"/>
        <v>-2.2879464285714306</v>
      </c>
    </row>
    <row r="210" spans="1:16" x14ac:dyDescent="0.35">
      <c r="A210">
        <v>2566</v>
      </c>
      <c r="B210" t="s">
        <v>13</v>
      </c>
      <c r="C210">
        <v>31829.59</v>
      </c>
      <c r="D210">
        <v>1183.8800000000001</v>
      </c>
      <c r="E210">
        <v>33013.46</v>
      </c>
      <c r="F210">
        <v>32413.46</v>
      </c>
      <c r="G210">
        <v>32513.46</v>
      </c>
      <c r="H210">
        <v>1917.98</v>
      </c>
      <c r="I210">
        <v>35.840000000000003</v>
      </c>
      <c r="J210" s="2">
        <f t="shared" si="22"/>
        <v>10.1095574804893</v>
      </c>
      <c r="K210" s="2">
        <f t="shared" si="23"/>
        <v>4.6514505949118785</v>
      </c>
      <c r="L210" s="2">
        <f t="shared" si="24"/>
        <v>9.9039697774120157</v>
      </c>
      <c r="M210" s="2">
        <f t="shared" si="25"/>
        <v>10.105827546685518</v>
      </c>
      <c r="N210" s="2">
        <f t="shared" si="26"/>
        <v>10.071615107896619</v>
      </c>
      <c r="O210" s="2">
        <f t="shared" si="27"/>
        <v>13.830759552268916</v>
      </c>
      <c r="P210" s="2">
        <f t="shared" si="28"/>
        <v>-3.1613077546608963</v>
      </c>
    </row>
    <row r="211" spans="1:16" hidden="1" x14ac:dyDescent="0.35">
      <c r="A211">
        <v>2566</v>
      </c>
      <c r="B211" t="s">
        <v>14</v>
      </c>
      <c r="C211">
        <v>32395.75</v>
      </c>
      <c r="D211">
        <v>1192.71</v>
      </c>
      <c r="E211">
        <v>33588.46</v>
      </c>
      <c r="F211">
        <v>32988.46</v>
      </c>
      <c r="G211">
        <v>33088.46</v>
      </c>
      <c r="H211">
        <v>1915.92</v>
      </c>
      <c r="I211">
        <v>36.51</v>
      </c>
      <c r="J211" s="2">
        <f t="shared" si="22"/>
        <v>10.642016216646354</v>
      </c>
      <c r="K211" s="2">
        <f t="shared" si="23"/>
        <v>5.0299844133886467</v>
      </c>
      <c r="L211" s="2">
        <f t="shared" si="24"/>
        <v>10.432485144029101</v>
      </c>
      <c r="M211" s="2">
        <f t="shared" si="25"/>
        <v>10.642426828033052</v>
      </c>
      <c r="N211" s="2">
        <f t="shared" si="26"/>
        <v>10.606851726436361</v>
      </c>
      <c r="O211" s="2">
        <f t="shared" si="27"/>
        <v>15.07165251234251</v>
      </c>
      <c r="P211" s="2">
        <f t="shared" si="28"/>
        <v>-3.7691091196626303</v>
      </c>
    </row>
    <row r="212" spans="1:16" hidden="1" x14ac:dyDescent="0.35">
      <c r="A212">
        <v>2566</v>
      </c>
      <c r="B212" t="s">
        <v>15</v>
      </c>
      <c r="C212">
        <v>32626.07</v>
      </c>
      <c r="D212">
        <v>1197.01</v>
      </c>
      <c r="E212">
        <v>33823.08</v>
      </c>
      <c r="F212">
        <v>33223.08</v>
      </c>
      <c r="G212">
        <v>33323.08</v>
      </c>
      <c r="H212">
        <v>1984.12</v>
      </c>
      <c r="I212">
        <v>35.479999999999997</v>
      </c>
      <c r="J212" s="2">
        <f t="shared" si="22"/>
        <v>12.114035392166329</v>
      </c>
      <c r="K212" s="2">
        <f t="shared" si="23"/>
        <v>5.5722639196352333</v>
      </c>
      <c r="L212" s="2">
        <f t="shared" si="24"/>
        <v>11.868712092296846</v>
      </c>
      <c r="M212" s="2">
        <f t="shared" si="25"/>
        <v>12.109013039478839</v>
      </c>
      <c r="N212" s="2">
        <f t="shared" si="26"/>
        <v>12.068289421556415</v>
      </c>
      <c r="O212" s="2">
        <f t="shared" si="27"/>
        <v>14.858982077525113</v>
      </c>
      <c r="P212" s="2">
        <f t="shared" si="28"/>
        <v>-2.4738867509620803</v>
      </c>
    </row>
    <row r="213" spans="1:16" x14ac:dyDescent="0.35">
      <c r="A213">
        <v>2566</v>
      </c>
      <c r="B213" t="s">
        <v>16</v>
      </c>
      <c r="C213">
        <v>33023.14</v>
      </c>
      <c r="D213">
        <v>1207.6199999999999</v>
      </c>
      <c r="E213">
        <v>34230.769999999997</v>
      </c>
      <c r="F213">
        <v>33630.769999999997</v>
      </c>
      <c r="G213">
        <v>33730.769999999997</v>
      </c>
      <c r="H213">
        <v>2038.08</v>
      </c>
      <c r="I213">
        <v>34.96</v>
      </c>
      <c r="J213" s="2">
        <f t="shared" si="22"/>
        <v>13.998884974601239</v>
      </c>
      <c r="K213" s="2">
        <f t="shared" si="23"/>
        <v>6.6755001987544631</v>
      </c>
      <c r="L213" s="2">
        <f t="shared" si="24"/>
        <v>13.723488372093001</v>
      </c>
      <c r="M213" s="2">
        <f t="shared" si="25"/>
        <v>14.002610169491518</v>
      </c>
      <c r="N213" s="2">
        <f t="shared" si="26"/>
        <v>13.955304054054054</v>
      </c>
      <c r="O213" s="2">
        <f t="shared" si="27"/>
        <v>13.403071444469177</v>
      </c>
      <c r="P213" s="2">
        <f t="shared" si="28"/>
        <v>0.48864616269044348</v>
      </c>
    </row>
    <row r="214" spans="1:16" hidden="1" x14ac:dyDescent="0.35">
      <c r="A214">
        <v>2567</v>
      </c>
      <c r="B214" t="s">
        <v>17</v>
      </c>
      <c r="C214">
        <v>33185.800000000003</v>
      </c>
      <c r="D214">
        <v>1210.49</v>
      </c>
      <c r="E214">
        <v>34396.300000000003</v>
      </c>
      <c r="F214">
        <v>33796.300000000003</v>
      </c>
      <c r="G214">
        <v>33896.300000000003</v>
      </c>
      <c r="H214">
        <v>2036.33</v>
      </c>
      <c r="I214">
        <v>35.18</v>
      </c>
      <c r="J214" s="2">
        <f t="shared" si="22"/>
        <v>13.541513416974865</v>
      </c>
      <c r="K214" s="2">
        <f t="shared" si="23"/>
        <v>6.7790480222998468</v>
      </c>
      <c r="L214" s="2">
        <f t="shared" si="24"/>
        <v>13.28904923795038</v>
      </c>
      <c r="M214" s="2">
        <f t="shared" si="25"/>
        <v>13.556959754098756</v>
      </c>
      <c r="N214" s="2">
        <f t="shared" si="26"/>
        <v>13.511560354891273</v>
      </c>
      <c r="O214" s="2">
        <f t="shared" si="27"/>
        <v>7.3362675592335762</v>
      </c>
      <c r="P214" s="2">
        <f t="shared" si="28"/>
        <v>5.7409077246768732</v>
      </c>
    </row>
    <row r="215" spans="1:16" hidden="1" x14ac:dyDescent="0.35">
      <c r="A215">
        <v>2567</v>
      </c>
      <c r="B215" t="s">
        <v>18</v>
      </c>
      <c r="C215">
        <v>33667.33</v>
      </c>
      <c r="D215">
        <v>1216.67</v>
      </c>
      <c r="E215">
        <v>34884</v>
      </c>
      <c r="F215">
        <v>34284</v>
      </c>
      <c r="G215">
        <v>34384</v>
      </c>
      <c r="H215">
        <v>2026.68</v>
      </c>
      <c r="I215">
        <v>35.85</v>
      </c>
      <c r="J215" s="2">
        <f t="shared" si="22"/>
        <v>14.955664977534582</v>
      </c>
      <c r="K215" s="2">
        <f t="shared" si="23"/>
        <v>7.1304669408025063</v>
      </c>
      <c r="L215" s="2">
        <f t="shared" si="24"/>
        <v>14.663549718435974</v>
      </c>
      <c r="M215" s="2">
        <f t="shared" si="25"/>
        <v>14.958562072392652</v>
      </c>
      <c r="N215" s="2">
        <f t="shared" si="26"/>
        <v>14.908571757034423</v>
      </c>
      <c r="O215" s="2">
        <f t="shared" si="27"/>
        <v>9.107940780619117</v>
      </c>
      <c r="P215" s="2">
        <f t="shared" si="28"/>
        <v>5.286343612334818</v>
      </c>
    </row>
    <row r="216" spans="1:16" x14ac:dyDescent="0.35">
      <c r="A216">
        <v>2567</v>
      </c>
      <c r="B216" t="s">
        <v>19</v>
      </c>
      <c r="C216">
        <v>36037.07</v>
      </c>
      <c r="D216">
        <v>1259.08</v>
      </c>
      <c r="E216">
        <v>37296.15</v>
      </c>
      <c r="F216">
        <v>36696.15</v>
      </c>
      <c r="G216">
        <v>36796.15</v>
      </c>
      <c r="H216">
        <v>2160.85</v>
      </c>
      <c r="I216">
        <v>35.979999999999997</v>
      </c>
      <c r="J216" s="2">
        <f t="shared" si="22"/>
        <v>18.225224241028485</v>
      </c>
      <c r="K216" s="2">
        <f t="shared" si="23"/>
        <v>8.8058901813028001</v>
      </c>
      <c r="L216" s="2">
        <f t="shared" si="24"/>
        <v>17.880715789966089</v>
      </c>
      <c r="M216" s="2">
        <f t="shared" si="25"/>
        <v>18.226360543176654</v>
      </c>
      <c r="N216" s="2">
        <f t="shared" si="26"/>
        <v>18.167828076081079</v>
      </c>
      <c r="O216" s="2">
        <f t="shared" si="27"/>
        <v>13.120478269518699</v>
      </c>
      <c r="P216" s="2">
        <f t="shared" si="28"/>
        <v>4.3806208297069844</v>
      </c>
    </row>
    <row r="217" spans="1:16" hidden="1" x14ac:dyDescent="0.35">
      <c r="A217">
        <v>2567</v>
      </c>
      <c r="B217" t="s">
        <v>20</v>
      </c>
      <c r="C217">
        <v>39828.82</v>
      </c>
      <c r="D217">
        <v>1330.8</v>
      </c>
      <c r="E217">
        <v>41159.620000000003</v>
      </c>
      <c r="F217">
        <v>40559.620000000003</v>
      </c>
      <c r="G217">
        <v>40659.620000000003</v>
      </c>
      <c r="H217">
        <v>2335.87</v>
      </c>
      <c r="I217">
        <v>36.76</v>
      </c>
      <c r="J217" s="2">
        <f t="shared" si="22"/>
        <v>25.613483775416739</v>
      </c>
      <c r="K217" s="2">
        <f t="shared" si="23"/>
        <v>12.53551616831281</v>
      </c>
      <c r="L217" s="2">
        <f t="shared" si="24"/>
        <v>25.143265430221959</v>
      </c>
      <c r="M217" s="2">
        <f t="shared" si="25"/>
        <v>25.610467637039335</v>
      </c>
      <c r="N217" s="2">
        <f t="shared" si="26"/>
        <v>25.531398579808595</v>
      </c>
      <c r="O217" s="2">
        <f t="shared" si="27"/>
        <v>16.930308460899241</v>
      </c>
      <c r="P217" s="2">
        <f t="shared" si="28"/>
        <v>7.3598130841121332</v>
      </c>
    </row>
    <row r="218" spans="1:16" hidden="1" x14ac:dyDescent="0.35">
      <c r="A218">
        <v>2567</v>
      </c>
      <c r="B218" t="s">
        <v>9</v>
      </c>
      <c r="C218">
        <v>39917.4</v>
      </c>
      <c r="D218">
        <v>1332.6</v>
      </c>
      <c r="E218">
        <v>41250</v>
      </c>
      <c r="F218">
        <v>40650</v>
      </c>
      <c r="G218">
        <v>40750</v>
      </c>
      <c r="H218">
        <v>2349.81</v>
      </c>
      <c r="I218">
        <v>36.65</v>
      </c>
      <c r="J218" s="2">
        <f t="shared" si="22"/>
        <v>26.405529778801267</v>
      </c>
      <c r="K218" s="2">
        <f t="shared" si="23"/>
        <v>13.069227962700552</v>
      </c>
      <c r="L218" s="2">
        <f t="shared" si="24"/>
        <v>25.925706580587416</v>
      </c>
      <c r="M218" s="2">
        <f t="shared" si="25"/>
        <v>26.409434093106384</v>
      </c>
      <c r="N218" s="2">
        <f t="shared" si="26"/>
        <v>26.327563186257038</v>
      </c>
      <c r="O218" s="2">
        <f t="shared" si="27"/>
        <v>18.01804064166825</v>
      </c>
      <c r="P218" s="2">
        <f t="shared" si="28"/>
        <v>7.1011104617182923</v>
      </c>
    </row>
    <row r="219" spans="1:16" x14ac:dyDescent="0.35">
      <c r="A219">
        <v>2567</v>
      </c>
      <c r="B219" t="s">
        <v>10</v>
      </c>
      <c r="C219">
        <v>39611.870000000003</v>
      </c>
      <c r="D219">
        <v>1326.13</v>
      </c>
      <c r="E219">
        <v>40938</v>
      </c>
      <c r="F219">
        <v>40338</v>
      </c>
      <c r="G219">
        <v>40438</v>
      </c>
      <c r="H219">
        <v>2325.08</v>
      </c>
      <c r="I219">
        <v>36.729999999999997</v>
      </c>
      <c r="J219" s="2">
        <f t="shared" si="22"/>
        <v>25.91453791291805</v>
      </c>
      <c r="K219" s="2">
        <f t="shared" si="23"/>
        <v>12.650249318303452</v>
      </c>
      <c r="L219" s="2">
        <f t="shared" si="24"/>
        <v>25.436090958171434</v>
      </c>
      <c r="M219" s="2">
        <f t="shared" si="25"/>
        <v>25.912473694100541</v>
      </c>
      <c r="N219" s="2">
        <f t="shared" si="26"/>
        <v>25.831841262313858</v>
      </c>
      <c r="O219" s="2">
        <f t="shared" si="27"/>
        <v>19.605341673696984</v>
      </c>
      <c r="P219" s="2">
        <f t="shared" si="28"/>
        <v>5.1832760595647045</v>
      </c>
    </row>
    <row r="220" spans="1:16" hidden="1" x14ac:dyDescent="0.35">
      <c r="A220">
        <v>2567</v>
      </c>
      <c r="B220" t="s">
        <v>11</v>
      </c>
      <c r="C220">
        <v>40208.81</v>
      </c>
      <c r="D220">
        <v>1335.63</v>
      </c>
      <c r="E220">
        <v>41544.44</v>
      </c>
      <c r="F220">
        <v>40944.44</v>
      </c>
      <c r="G220">
        <v>41044.44</v>
      </c>
      <c r="H220">
        <v>2392.2600000000002</v>
      </c>
      <c r="I220">
        <v>36.26</v>
      </c>
      <c r="J220" s="2">
        <f t="shared" si="22"/>
        <v>28.517097019376223</v>
      </c>
      <c r="K220" s="2">
        <f t="shared" si="23"/>
        <v>13.877070775107228</v>
      </c>
      <c r="L220" s="2">
        <f t="shared" si="24"/>
        <v>27.988066403734862</v>
      </c>
      <c r="M220" s="2">
        <f t="shared" si="25"/>
        <v>28.515154920240747</v>
      </c>
      <c r="N220" s="2">
        <f t="shared" si="26"/>
        <v>28.425932473540058</v>
      </c>
      <c r="O220" s="2">
        <f t="shared" si="27"/>
        <v>22.780743173886279</v>
      </c>
      <c r="P220" s="2">
        <f t="shared" si="28"/>
        <v>4.6464646464646506</v>
      </c>
    </row>
    <row r="221" spans="1:16" hidden="1" x14ac:dyDescent="0.35">
      <c r="A221">
        <v>2567</v>
      </c>
      <c r="B221" t="s">
        <v>12</v>
      </c>
      <c r="C221">
        <v>39847.22</v>
      </c>
      <c r="D221">
        <v>1330.56</v>
      </c>
      <c r="E221">
        <v>41177.78</v>
      </c>
      <c r="F221">
        <v>40577.78</v>
      </c>
      <c r="G221">
        <v>40677.78</v>
      </c>
      <c r="H221">
        <v>2473.48</v>
      </c>
      <c r="I221">
        <v>34.74</v>
      </c>
      <c r="J221" s="2">
        <f t="shared" si="22"/>
        <v>27.870286520023285</v>
      </c>
      <c r="K221" s="2">
        <f t="shared" si="23"/>
        <v>13.6152880600456</v>
      </c>
      <c r="L221" s="2">
        <f t="shared" si="24"/>
        <v>27.353971892162036</v>
      </c>
      <c r="M221" s="2">
        <f t="shared" si="25"/>
        <v>27.871168894030347</v>
      </c>
      <c r="N221" s="2">
        <f t="shared" si="26"/>
        <v>27.783615474724115</v>
      </c>
      <c r="O221" s="2">
        <f t="shared" si="27"/>
        <v>28.83178032532436</v>
      </c>
      <c r="P221" s="2">
        <f t="shared" si="28"/>
        <v>-0.79954311821815338</v>
      </c>
    </row>
    <row r="222" spans="1:16" x14ac:dyDescent="0.35">
      <c r="A222">
        <v>2567</v>
      </c>
      <c r="B222" t="s">
        <v>13</v>
      </c>
      <c r="C222">
        <v>39706.47</v>
      </c>
      <c r="D222">
        <v>1327.53</v>
      </c>
      <c r="E222">
        <v>41034</v>
      </c>
      <c r="F222">
        <v>40434</v>
      </c>
      <c r="G222">
        <v>40534</v>
      </c>
      <c r="H222">
        <v>2572.54</v>
      </c>
      <c r="I222">
        <v>33.299999999999997</v>
      </c>
      <c r="J222" s="2">
        <f t="shared" si="22"/>
        <v>24.747035698543399</v>
      </c>
      <c r="K222" s="2">
        <f t="shared" si="23"/>
        <v>12.133831131533583</v>
      </c>
      <c r="L222" s="2">
        <f t="shared" si="24"/>
        <v>24.294757350486734</v>
      </c>
      <c r="M222" s="2">
        <f t="shared" si="25"/>
        <v>24.744473437886612</v>
      </c>
      <c r="N222" s="2">
        <f t="shared" si="26"/>
        <v>24.668368115851095</v>
      </c>
      <c r="O222" s="2">
        <f t="shared" si="27"/>
        <v>34.127571716076289</v>
      </c>
      <c r="P222" s="2">
        <f t="shared" si="28"/>
        <v>-7.0870535714285978</v>
      </c>
    </row>
    <row r="223" spans="1:16" hidden="1" x14ac:dyDescent="0.35">
      <c r="A223">
        <v>2567</v>
      </c>
      <c r="B223" t="s">
        <v>14</v>
      </c>
      <c r="C223">
        <v>41622.06</v>
      </c>
      <c r="D223">
        <v>1363.12</v>
      </c>
      <c r="E223">
        <v>42985.19</v>
      </c>
      <c r="F223">
        <v>42385.19</v>
      </c>
      <c r="G223">
        <v>42485.19</v>
      </c>
      <c r="H223">
        <v>2691.3</v>
      </c>
      <c r="I223">
        <v>33.369999999999997</v>
      </c>
      <c r="J223" s="2">
        <f t="shared" si="22"/>
        <v>28.480001234729855</v>
      </c>
      <c r="K223" s="2">
        <f t="shared" si="23"/>
        <v>14.287630689773707</v>
      </c>
      <c r="L223" s="2">
        <f t="shared" si="24"/>
        <v>27.976066780078639</v>
      </c>
      <c r="M223" s="2">
        <f t="shared" si="25"/>
        <v>28.484900477318433</v>
      </c>
      <c r="N223" s="2">
        <f t="shared" si="26"/>
        <v>28.398813362725264</v>
      </c>
      <c r="O223" s="2">
        <f t="shared" si="27"/>
        <v>40.470374545910062</v>
      </c>
      <c r="P223" s="2">
        <f t="shared" si="28"/>
        <v>-8.6003834565872381</v>
      </c>
    </row>
    <row r="224" spans="1:16" hidden="1" x14ac:dyDescent="0.35">
      <c r="A224">
        <v>2567</v>
      </c>
      <c r="B224" t="s">
        <v>15</v>
      </c>
      <c r="C224">
        <v>42466.66</v>
      </c>
      <c r="D224">
        <v>1377.57</v>
      </c>
      <c r="E224">
        <v>43844.23</v>
      </c>
      <c r="F224">
        <v>43244.23</v>
      </c>
      <c r="G224">
        <v>43344.23</v>
      </c>
      <c r="H224">
        <v>2658.85</v>
      </c>
      <c r="I224">
        <v>34.450000000000003</v>
      </c>
      <c r="J224" s="2">
        <f t="shared" si="22"/>
        <v>30.161738756767221</v>
      </c>
      <c r="K224" s="2">
        <f t="shared" si="23"/>
        <v>15.08425159355393</v>
      </c>
      <c r="L224" s="2">
        <f t="shared" si="24"/>
        <v>29.628141493914825</v>
      </c>
      <c r="M224" s="2">
        <f t="shared" si="25"/>
        <v>30.163217859391722</v>
      </c>
      <c r="N224" s="2">
        <f t="shared" si="26"/>
        <v>30.072700362631537</v>
      </c>
      <c r="O224" s="2">
        <f t="shared" si="27"/>
        <v>34.006511702921188</v>
      </c>
      <c r="P224" s="2">
        <f t="shared" si="28"/>
        <v>-2.903043968432911</v>
      </c>
    </row>
    <row r="225" spans="1:16" x14ac:dyDescent="0.35">
      <c r="A225">
        <v>2567</v>
      </c>
      <c r="B225" t="s">
        <v>16</v>
      </c>
      <c r="C225">
        <v>41858.51</v>
      </c>
      <c r="D225">
        <v>1366.49</v>
      </c>
      <c r="E225">
        <v>43225</v>
      </c>
      <c r="F225">
        <v>42625</v>
      </c>
      <c r="G225">
        <v>42725</v>
      </c>
      <c r="H225">
        <v>2640.67</v>
      </c>
      <c r="I225">
        <v>34.18</v>
      </c>
      <c r="J225" s="2">
        <f t="shared" si="22"/>
        <v>26.755087493194168</v>
      </c>
      <c r="K225" s="2">
        <f t="shared" si="23"/>
        <v>13.155628426160561</v>
      </c>
      <c r="L225" s="2">
        <f t="shared" si="24"/>
        <v>26.275278061229713</v>
      </c>
      <c r="M225" s="2">
        <f t="shared" si="25"/>
        <v>26.744050165964111</v>
      </c>
      <c r="N225" s="2">
        <f t="shared" si="26"/>
        <v>26.664763359982601</v>
      </c>
      <c r="O225" s="2">
        <f t="shared" si="27"/>
        <v>29.566552834039896</v>
      </c>
      <c r="P225" s="2">
        <f t="shared" si="28"/>
        <v>-2.2311212814645387</v>
      </c>
    </row>
    <row r="226" spans="1:16" hidden="1" x14ac:dyDescent="0.35">
      <c r="A226">
        <v>2568</v>
      </c>
      <c r="B226" t="s">
        <v>17</v>
      </c>
      <c r="C226">
        <v>42929.19</v>
      </c>
      <c r="D226">
        <v>1387.48</v>
      </c>
      <c r="E226">
        <v>44316.67</v>
      </c>
      <c r="F226">
        <v>43716.67</v>
      </c>
      <c r="G226">
        <v>43816.67</v>
      </c>
      <c r="H226">
        <v>2702.91</v>
      </c>
      <c r="I226">
        <v>34.270000000000003</v>
      </c>
      <c r="J226" s="2">
        <f t="shared" si="22"/>
        <v>29.3601178817446</v>
      </c>
      <c r="K226" s="2">
        <f t="shared" si="23"/>
        <v>14.621351684028781</v>
      </c>
      <c r="L226" s="2">
        <f t="shared" si="24"/>
        <v>28.841387009649281</v>
      </c>
      <c r="M226" s="2">
        <f t="shared" si="25"/>
        <v>29.353420344830624</v>
      </c>
      <c r="N226" s="2">
        <f t="shared" si="26"/>
        <v>29.2668226325587</v>
      </c>
      <c r="O226" s="2">
        <f t="shared" si="27"/>
        <v>32.73437998752658</v>
      </c>
      <c r="P226" s="2">
        <f t="shared" si="28"/>
        <v>-2.5866969869243803</v>
      </c>
    </row>
    <row r="227" spans="1:16" hidden="1" x14ac:dyDescent="0.35">
      <c r="A227">
        <v>2568</v>
      </c>
      <c r="B227" t="s">
        <v>18</v>
      </c>
      <c r="C227">
        <v>44809.93</v>
      </c>
      <c r="D227">
        <v>1420.07</v>
      </c>
      <c r="E227">
        <v>46230</v>
      </c>
      <c r="F227">
        <v>45630</v>
      </c>
      <c r="G227">
        <v>45730</v>
      </c>
      <c r="H227">
        <v>2855.65</v>
      </c>
      <c r="I227">
        <v>33.85</v>
      </c>
      <c r="J227" s="2">
        <f t="shared" si="22"/>
        <v>33.096179590124905</v>
      </c>
      <c r="K227" s="2">
        <f t="shared" si="23"/>
        <v>16.717762417089261</v>
      </c>
      <c r="L227" s="2">
        <f t="shared" si="24"/>
        <v>32.524939800481576</v>
      </c>
      <c r="M227" s="2">
        <f t="shared" si="25"/>
        <v>33.094154707735385</v>
      </c>
      <c r="N227" s="2">
        <f t="shared" si="26"/>
        <v>32.997906002792007</v>
      </c>
      <c r="O227" s="2">
        <f t="shared" si="27"/>
        <v>40.902855902263781</v>
      </c>
      <c r="P227" s="2">
        <f t="shared" si="28"/>
        <v>-5.5788005578800579</v>
      </c>
    </row>
    <row r="228" spans="1:16" x14ac:dyDescent="0.35">
      <c r="A228">
        <v>2568</v>
      </c>
      <c r="B228" t="s">
        <v>17</v>
      </c>
      <c r="C228">
        <v>42929.19</v>
      </c>
      <c r="D228">
        <v>1387.48</v>
      </c>
      <c r="E228">
        <v>44316.67</v>
      </c>
      <c r="F228">
        <v>43716.67</v>
      </c>
      <c r="G228">
        <v>43816.67</v>
      </c>
      <c r="H228">
        <v>2702.91</v>
      </c>
      <c r="I228">
        <v>34.270000000000003</v>
      </c>
      <c r="J228" s="2">
        <f t="shared" ref="J228:J239" si="29">C228/C216*100-100</f>
        <v>19.125084253520058</v>
      </c>
      <c r="K228" s="2">
        <f t="shared" ref="K228:K239" si="30">D228/D216*100-100</f>
        <v>10.197922292467524</v>
      </c>
      <c r="L228" s="2">
        <f t="shared" ref="L228:L239" si="31">E228/E216*100-100</f>
        <v>18.823712367094188</v>
      </c>
      <c r="M228" s="2">
        <f t="shared" ref="M228:M239" si="32">F228/F216*100-100</f>
        <v>19.131489270672802</v>
      </c>
      <c r="N228" s="2">
        <f t="shared" ref="N228:N239" si="33">G228/G216*100-100</f>
        <v>19.079496088585344</v>
      </c>
      <c r="O228" s="2">
        <f t="shared" ref="O228:O239" si="34">H228/H216*100-100</f>
        <v>25.085498762061235</v>
      </c>
      <c r="P228" s="2">
        <f t="shared" ref="P228:P239" si="35">I228/I216*100-100</f>
        <v>-4.7526403557531864</v>
      </c>
    </row>
    <row r="229" spans="1:16" x14ac:dyDescent="0.35">
      <c r="A229">
        <v>2568</v>
      </c>
      <c r="B229" t="s">
        <v>18</v>
      </c>
      <c r="C229">
        <v>45310.71</v>
      </c>
      <c r="D229">
        <v>1428.87</v>
      </c>
      <c r="E229">
        <v>46739.58</v>
      </c>
      <c r="F229">
        <v>46139.58</v>
      </c>
      <c r="G229">
        <v>46239.58</v>
      </c>
      <c r="H229">
        <v>2892.25</v>
      </c>
      <c r="I229">
        <v>33.79</v>
      </c>
      <c r="J229" s="2">
        <f t="shared" si="29"/>
        <v>13.763626439347192</v>
      </c>
      <c r="K229" s="2">
        <f t="shared" si="30"/>
        <v>7.3692515779981989</v>
      </c>
      <c r="L229" s="2">
        <f t="shared" si="31"/>
        <v>13.556879290916669</v>
      </c>
      <c r="M229" s="2">
        <f t="shared" si="32"/>
        <v>13.757426721453498</v>
      </c>
      <c r="N229" s="2">
        <f t="shared" si="33"/>
        <v>13.723591120625329</v>
      </c>
      <c r="O229" s="2">
        <f t="shared" si="34"/>
        <v>23.818962527880402</v>
      </c>
      <c r="P229" s="2">
        <f t="shared" si="35"/>
        <v>-8.0794341675734529</v>
      </c>
    </row>
    <row r="230" spans="1:16" x14ac:dyDescent="0.35">
      <c r="A230">
        <v>2568</v>
      </c>
      <c r="B230" t="s">
        <v>19</v>
      </c>
      <c r="C230">
        <v>46745.279999999999</v>
      </c>
      <c r="D230">
        <v>1756.65</v>
      </c>
      <c r="E230">
        <v>48501.919999999998</v>
      </c>
      <c r="F230">
        <v>47601.919999999998</v>
      </c>
      <c r="G230">
        <v>47701.919999999998</v>
      </c>
      <c r="H230">
        <v>2980.33</v>
      </c>
      <c r="I230">
        <v>33.83</v>
      </c>
      <c r="J230" s="2">
        <f t="shared" si="29"/>
        <v>17.105021870161877</v>
      </c>
      <c r="K230" s="2">
        <f t="shared" si="30"/>
        <v>31.821251688428646</v>
      </c>
      <c r="L230" s="2">
        <f t="shared" si="31"/>
        <v>17.580412121212106</v>
      </c>
      <c r="M230" s="2">
        <f t="shared" si="32"/>
        <v>17.101894218942192</v>
      </c>
      <c r="N230" s="2">
        <f t="shared" si="33"/>
        <v>17.059926380368083</v>
      </c>
      <c r="O230" s="2">
        <f t="shared" si="34"/>
        <v>26.832807758925185</v>
      </c>
      <c r="P230" s="2">
        <f t="shared" si="35"/>
        <v>-7.6944065484311039</v>
      </c>
    </row>
    <row r="231" spans="1:16" x14ac:dyDescent="0.35">
      <c r="A231">
        <v>2568</v>
      </c>
      <c r="B231" t="s">
        <v>20</v>
      </c>
      <c r="C231">
        <v>50516.62</v>
      </c>
      <c r="D231">
        <v>1825.69</v>
      </c>
      <c r="E231">
        <v>52342.31</v>
      </c>
      <c r="F231">
        <v>51442.31</v>
      </c>
      <c r="G231">
        <v>51542.31</v>
      </c>
      <c r="H231">
        <v>3227.62</v>
      </c>
      <c r="I231">
        <v>33.75</v>
      </c>
      <c r="J231" s="2">
        <f t="shared" si="29"/>
        <v>27.528995727795717</v>
      </c>
      <c r="K231" s="2">
        <f t="shared" si="30"/>
        <v>37.670514957055502</v>
      </c>
      <c r="L231" s="2">
        <f t="shared" si="31"/>
        <v>27.857516244076393</v>
      </c>
      <c r="M231" s="2">
        <f t="shared" si="32"/>
        <v>27.528162030839411</v>
      </c>
      <c r="N231" s="2">
        <f t="shared" si="33"/>
        <v>27.460087046837131</v>
      </c>
      <c r="O231" s="2">
        <f t="shared" si="34"/>
        <v>38.817589072203958</v>
      </c>
      <c r="P231" s="2">
        <f t="shared" si="35"/>
        <v>-8.113258916417081</v>
      </c>
    </row>
    <row r="232" spans="1:16" x14ac:dyDescent="0.35">
      <c r="A232">
        <v>2568</v>
      </c>
      <c r="B232" t="s">
        <v>9</v>
      </c>
      <c r="C232">
        <v>50235.75</v>
      </c>
      <c r="D232">
        <v>1819.81</v>
      </c>
      <c r="E232">
        <v>52055.56</v>
      </c>
      <c r="F232">
        <v>51155.56</v>
      </c>
      <c r="G232">
        <v>51255.56</v>
      </c>
      <c r="H232">
        <v>3284.81</v>
      </c>
      <c r="I232">
        <v>32.97</v>
      </c>
      <c r="J232" s="2">
        <f t="shared" si="29"/>
        <v>24.937171729280223</v>
      </c>
      <c r="K232" s="2">
        <f t="shared" si="30"/>
        <v>36.251057553364319</v>
      </c>
      <c r="L232" s="2">
        <f t="shared" si="31"/>
        <v>25.300906691725757</v>
      </c>
      <c r="M232" s="2">
        <f t="shared" si="32"/>
        <v>24.93896607207229</v>
      </c>
      <c r="N232" s="2">
        <f t="shared" si="33"/>
        <v>24.878205184429362</v>
      </c>
      <c r="O232" s="2">
        <f t="shared" si="34"/>
        <v>37.309907785942983</v>
      </c>
      <c r="P232" s="2">
        <f t="shared" si="35"/>
        <v>-9.0733590733590717</v>
      </c>
    </row>
    <row r="233" spans="1:16" x14ac:dyDescent="0.35">
      <c r="A233">
        <v>2568</v>
      </c>
      <c r="B233" t="s">
        <v>10</v>
      </c>
      <c r="C233">
        <v>50607</v>
      </c>
      <c r="D233">
        <v>1933.39</v>
      </c>
      <c r="E233">
        <v>52540.38</v>
      </c>
      <c r="F233">
        <v>51640.38</v>
      </c>
      <c r="G233">
        <v>51740.38</v>
      </c>
      <c r="H233">
        <v>3350.88</v>
      </c>
      <c r="I233">
        <v>32.630000000000003</v>
      </c>
      <c r="J233" s="2">
        <f t="shared" si="29"/>
        <v>27.002586378673342</v>
      </c>
      <c r="K233" s="2">
        <f t="shared" si="30"/>
        <v>45.306487493987504</v>
      </c>
      <c r="L233" s="2">
        <f t="shared" si="31"/>
        <v>27.594008224824165</v>
      </c>
      <c r="M233" s="2">
        <f t="shared" si="32"/>
        <v>27.262703873893528</v>
      </c>
      <c r="N233" s="2">
        <f t="shared" si="33"/>
        <v>27.195682753581934</v>
      </c>
      <c r="O233" s="2">
        <f t="shared" si="34"/>
        <v>35.472290052880965</v>
      </c>
      <c r="P233" s="2">
        <f t="shared" si="35"/>
        <v>-6.0736902705814515</v>
      </c>
    </row>
    <row r="234" spans="1:16" x14ac:dyDescent="0.35">
      <c r="A234">
        <v>2568</v>
      </c>
      <c r="B234" t="s">
        <v>11</v>
      </c>
      <c r="C234">
        <v>50218.9</v>
      </c>
      <c r="D234">
        <v>1923.69</v>
      </c>
      <c r="E234">
        <v>52142.59</v>
      </c>
      <c r="F234">
        <v>51242.59</v>
      </c>
      <c r="G234">
        <v>51342.59</v>
      </c>
      <c r="H234">
        <v>3344.2</v>
      </c>
      <c r="I234">
        <v>32.44</v>
      </c>
      <c r="J234" s="2">
        <f t="shared" si="29"/>
        <v>26.475357794334272</v>
      </c>
      <c r="K234" s="2">
        <f t="shared" si="30"/>
        <v>44.907459718424434</v>
      </c>
      <c r="L234" s="2">
        <f t="shared" si="31"/>
        <v>27.071672271774631</v>
      </c>
      <c r="M234" s="2">
        <f t="shared" si="32"/>
        <v>26.731438888064488</v>
      </c>
      <c r="N234" s="2">
        <f t="shared" si="33"/>
        <v>26.665490699166128</v>
      </c>
      <c r="O234" s="2">
        <f t="shared" si="34"/>
        <v>29.996035047074088</v>
      </c>
      <c r="P234" s="2">
        <f t="shared" si="35"/>
        <v>-2.5825825825825888</v>
      </c>
    </row>
    <row r="235" spans="1:16" x14ac:dyDescent="0.35">
      <c r="A235">
        <v>2568</v>
      </c>
      <c r="B235" t="s">
        <v>12</v>
      </c>
      <c r="C235">
        <v>50507.87</v>
      </c>
      <c r="D235">
        <v>1930.59</v>
      </c>
      <c r="E235">
        <v>52438.46</v>
      </c>
      <c r="F235">
        <v>51538.46</v>
      </c>
      <c r="G235">
        <v>51638.46</v>
      </c>
      <c r="H235">
        <v>3363.65</v>
      </c>
      <c r="I235">
        <v>32.450000000000003</v>
      </c>
      <c r="J235" s="2">
        <f t="shared" si="29"/>
        <v>21.348799170439918</v>
      </c>
      <c r="K235" s="2">
        <f t="shared" si="30"/>
        <v>41.630230647338465</v>
      </c>
      <c r="L235" s="2">
        <f t="shared" si="31"/>
        <v>21.991923264733742</v>
      </c>
      <c r="M235" s="2">
        <f t="shared" si="32"/>
        <v>21.595444069025049</v>
      </c>
      <c r="N235" s="2">
        <f t="shared" si="33"/>
        <v>21.544613546508785</v>
      </c>
      <c r="O235" s="2">
        <f t="shared" si="34"/>
        <v>24.982350536915249</v>
      </c>
      <c r="P235" s="2">
        <f t="shared" si="35"/>
        <v>-2.7569673359304545</v>
      </c>
    </row>
    <row r="236" spans="1:16" x14ac:dyDescent="0.35">
      <c r="A236">
        <v>2568</v>
      </c>
      <c r="B236" t="s">
        <v>13</v>
      </c>
      <c r="C236">
        <v>54186.5</v>
      </c>
      <c r="D236">
        <v>2005.8</v>
      </c>
      <c r="E236">
        <v>56192.31</v>
      </c>
      <c r="F236">
        <v>55292.31</v>
      </c>
      <c r="G236">
        <v>55392.31</v>
      </c>
      <c r="H236">
        <v>3659.81</v>
      </c>
      <c r="I236">
        <v>31.99</v>
      </c>
      <c r="J236" s="2">
        <f t="shared" si="29"/>
        <v>27.597743735909532</v>
      </c>
      <c r="K236" s="2">
        <f t="shared" si="30"/>
        <v>45.604216119688999</v>
      </c>
      <c r="L236" s="2">
        <f t="shared" si="31"/>
        <v>28.163523455651955</v>
      </c>
      <c r="M236" s="2">
        <f t="shared" si="32"/>
        <v>27.860549257091634</v>
      </c>
      <c r="N236" s="2">
        <f t="shared" si="33"/>
        <v>27.796271845179831</v>
      </c>
      <c r="O236" s="2">
        <f t="shared" si="34"/>
        <v>37.646350865975904</v>
      </c>
      <c r="P236" s="2">
        <f t="shared" si="35"/>
        <v>-7.1407837445573392</v>
      </c>
    </row>
    <row r="237" spans="1:16" x14ac:dyDescent="0.35">
      <c r="A237">
        <v>2568</v>
      </c>
      <c r="B237" t="s">
        <v>14</v>
      </c>
      <c r="C237">
        <v>61275.6</v>
      </c>
      <c r="D237">
        <v>2150.33</v>
      </c>
      <c r="E237">
        <v>63425.93</v>
      </c>
      <c r="F237">
        <v>62525.93</v>
      </c>
      <c r="G237">
        <v>62625.93</v>
      </c>
      <c r="H237">
        <v>4059.78</v>
      </c>
      <c r="I237">
        <v>32.590000000000003</v>
      </c>
      <c r="J237" s="2">
        <f t="shared" si="29"/>
        <v>46.387437106576414</v>
      </c>
      <c r="K237" s="2">
        <f t="shared" si="30"/>
        <v>57.361561372567678</v>
      </c>
      <c r="L237" s="2">
        <f t="shared" si="31"/>
        <v>46.734366685945645</v>
      </c>
      <c r="M237" s="2">
        <f t="shared" si="32"/>
        <v>46.688398826979494</v>
      </c>
      <c r="N237" s="2">
        <f t="shared" si="33"/>
        <v>46.579122293739033</v>
      </c>
      <c r="O237" s="2">
        <f t="shared" si="34"/>
        <v>53.740527972067696</v>
      </c>
      <c r="P237" s="2">
        <f t="shared" si="35"/>
        <v>-4.6518431831480314</v>
      </c>
    </row>
    <row r="238" spans="1:16" x14ac:dyDescent="0.35">
      <c r="A238">
        <v>2568</v>
      </c>
      <c r="B238" t="s">
        <v>15</v>
      </c>
      <c r="C238">
        <v>61277.93</v>
      </c>
      <c r="D238">
        <v>2150.0700000000002</v>
      </c>
      <c r="E238">
        <v>63428</v>
      </c>
      <c r="F238">
        <v>62528</v>
      </c>
      <c r="G238">
        <v>62628</v>
      </c>
      <c r="H238">
        <v>4085.92</v>
      </c>
      <c r="I238">
        <v>32.4</v>
      </c>
      <c r="J238" s="2">
        <f t="shared" si="29"/>
        <v>42.741873303456231</v>
      </c>
      <c r="K238" s="2">
        <f t="shared" si="30"/>
        <v>54.962233689854997</v>
      </c>
      <c r="L238" s="2">
        <f t="shared" si="31"/>
        <v>43.124472123018279</v>
      </c>
      <c r="M238" s="2">
        <f t="shared" si="32"/>
        <v>43.030107279442831</v>
      </c>
      <c r="N238" s="2">
        <f t="shared" si="33"/>
        <v>42.93190240152893</v>
      </c>
      <c r="O238" s="2">
        <f t="shared" si="34"/>
        <v>51.16744545693345</v>
      </c>
      <c r="P238" s="2">
        <f t="shared" si="35"/>
        <v>-5.4566676393347109</v>
      </c>
    </row>
    <row r="239" spans="1:16" x14ac:dyDescent="0.35">
      <c r="A239">
        <v>2568</v>
      </c>
      <c r="B239" t="s">
        <v>16</v>
      </c>
      <c r="C239">
        <v>62265.91</v>
      </c>
      <c r="D239">
        <v>2171.59</v>
      </c>
      <c r="E239">
        <v>64437.5</v>
      </c>
      <c r="F239">
        <v>63537.5</v>
      </c>
      <c r="G239">
        <v>63637.5</v>
      </c>
      <c r="H239">
        <v>4210.5600000000004</v>
      </c>
      <c r="I239">
        <v>31.94</v>
      </c>
      <c r="J239" s="2">
        <f t="shared" si="29"/>
        <v>38.955606491686126</v>
      </c>
      <c r="K239" s="2">
        <f t="shared" si="30"/>
        <v>52.92133486377432</v>
      </c>
      <c r="L239" s="2">
        <f t="shared" si="31"/>
        <v>39.384598745403423</v>
      </c>
      <c r="M239" s="2">
        <f t="shared" si="32"/>
        <v>39.245014245014261</v>
      </c>
      <c r="N239" s="2">
        <f t="shared" si="33"/>
        <v>39.159195276623649</v>
      </c>
      <c r="O239" s="2">
        <f t="shared" si="34"/>
        <v>47.446640869854519</v>
      </c>
      <c r="P239" s="2">
        <f t="shared" si="35"/>
        <v>-5.6425406203840538</v>
      </c>
    </row>
  </sheetData>
  <autoFilter ref="A1:B227" xr:uid="{00000000-0009-0000-0000-000001000000}">
    <filterColumn colId="0">
      <customFilters>
        <customFilter operator="greaterThan" val="2559"/>
      </customFilters>
    </filterColumn>
    <filterColumn colId="1">
      <filters>
        <filter val="กันยายน"/>
        <filter val="ธันวาคม"/>
        <filter val="มิถุนายน"/>
        <filter val="มีนาคม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scrap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Tapanat Paiboonsin</cp:lastModifiedBy>
  <dcterms:created xsi:type="dcterms:W3CDTF">2025-02-12T17:13:26Z</dcterms:created>
  <dcterms:modified xsi:type="dcterms:W3CDTF">2025-12-10T02:08:03Z</dcterms:modified>
</cp:coreProperties>
</file>